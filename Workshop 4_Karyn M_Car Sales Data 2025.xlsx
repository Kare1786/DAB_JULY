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tables/table3.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KareBare/Downloads/DAB July 2025/"/>
    </mc:Choice>
  </mc:AlternateContent>
  <xr:revisionPtr revIDLastSave="0" documentId="13_ncr:1_{262AB440-CDC1-F64F-9DD4-029856A879F9}" xr6:coauthVersionLast="47" xr6:coauthVersionMax="47" xr10:uidLastSave="{00000000-0000-0000-0000-000000000000}"/>
  <bookViews>
    <workbookView xWindow="30240" yWindow="0" windowWidth="38400" windowHeight="21600" activeTab="2" xr2:uid="{00000000-000D-0000-FFFF-FFFF00000000}"/>
  </bookViews>
  <sheets>
    <sheet name="Sheet2" sheetId="4" r:id="rId1"/>
    <sheet name="Data Cleaning Process" sheetId="3" r:id="rId2"/>
    <sheet name="Raw Uncleaned Data" sheetId="1" r:id="rId3"/>
    <sheet name="Cleaning Statge 1" sheetId="2" r:id="rId4"/>
    <sheet name="Cleaning Statge 2" sheetId="5" r:id="rId5"/>
    <sheet name="Clean Data" sheetId="7" r:id="rId6"/>
    <sheet name="Pivot" sheetId="8" r:id="rId7"/>
    <sheet name="Sales Per Region" sheetId="9" r:id="rId8"/>
    <sheet name="Sales By Dealer" sheetId="10" r:id="rId9"/>
    <sheet name="Sales by Quarter " sheetId="11" r:id="rId10"/>
    <sheet name="Sales Per Month" sheetId="13" r:id="rId11"/>
    <sheet name="AVG Sale Price by Make +Model" sheetId="14" r:id="rId12"/>
  </sheets>
  <definedNames>
    <definedName name="_xlnm._FilterDatabase" localSheetId="5" hidden="1">'Clean Data'!$A$1:$X$151</definedName>
    <definedName name="_xlnm._FilterDatabase" localSheetId="2" hidden="1">'Raw Uncleaned Data'!$A$35:$T$35</definedName>
  </definedNames>
  <calcPr calcId="191028"/>
  <pivotCaches>
    <pivotCache cacheId="4" r:id="rId13"/>
    <pivotCache cacheId="25" r:id="rId14"/>
    <pivotCache cacheId="30"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X151" i="5" l="1"/>
  <c r="T151" i="5"/>
  <c r="R151" i="5"/>
  <c r="N151" i="5"/>
  <c r="X150" i="5"/>
  <c r="T150" i="5"/>
  <c r="R150" i="5"/>
  <c r="N150" i="5"/>
  <c r="X149" i="5"/>
  <c r="T149" i="5"/>
  <c r="R149" i="5"/>
  <c r="N149" i="5"/>
  <c r="X148" i="5"/>
  <c r="T148" i="5"/>
  <c r="R148" i="5"/>
  <c r="N148" i="5"/>
  <c r="X147" i="5"/>
  <c r="T147" i="5"/>
  <c r="R147" i="5"/>
  <c r="N147" i="5"/>
  <c r="X146" i="5"/>
  <c r="T146" i="5"/>
  <c r="R146" i="5"/>
  <c r="N146" i="5"/>
  <c r="X145" i="5"/>
  <c r="T145" i="5"/>
  <c r="R145" i="5"/>
  <c r="N145" i="5"/>
  <c r="X144" i="5"/>
  <c r="T144" i="5"/>
  <c r="R144" i="5"/>
  <c r="N144" i="5"/>
  <c r="X143" i="5"/>
  <c r="T143" i="5"/>
  <c r="R143" i="5"/>
  <c r="N143" i="5"/>
  <c r="X142" i="5"/>
  <c r="T142" i="5"/>
  <c r="R142" i="5"/>
  <c r="N142" i="5"/>
  <c r="X141" i="5"/>
  <c r="T141" i="5"/>
  <c r="R141" i="5"/>
  <c r="N141" i="5"/>
  <c r="X140" i="5"/>
  <c r="T140" i="5"/>
  <c r="R140" i="5"/>
  <c r="N140" i="5"/>
  <c r="X139" i="5"/>
  <c r="T139" i="5"/>
  <c r="R139" i="5"/>
  <c r="N139" i="5"/>
  <c r="X138" i="5"/>
  <c r="T138" i="5"/>
  <c r="R138" i="5"/>
  <c r="N138" i="5"/>
  <c r="X137" i="5"/>
  <c r="T137" i="5"/>
  <c r="R137" i="5"/>
  <c r="N137" i="5"/>
  <c r="X136" i="5"/>
  <c r="T136" i="5"/>
  <c r="R136" i="5"/>
  <c r="N136" i="5"/>
  <c r="X135" i="5"/>
  <c r="T135" i="5"/>
  <c r="R135" i="5"/>
  <c r="N135" i="5"/>
  <c r="X134" i="5"/>
  <c r="T134" i="5"/>
  <c r="R134" i="5"/>
  <c r="N134" i="5"/>
  <c r="X133" i="5"/>
  <c r="T133" i="5"/>
  <c r="R133" i="5"/>
  <c r="N133" i="5"/>
  <c r="X132" i="5"/>
  <c r="T132" i="5"/>
  <c r="R132" i="5"/>
  <c r="N132" i="5"/>
  <c r="X131" i="5"/>
  <c r="T131" i="5"/>
  <c r="R131" i="5"/>
  <c r="N131" i="5"/>
  <c r="X130" i="5"/>
  <c r="T130" i="5"/>
  <c r="R130" i="5"/>
  <c r="N130" i="5"/>
  <c r="X129" i="5"/>
  <c r="T129" i="5"/>
  <c r="R129" i="5"/>
  <c r="N129" i="5"/>
  <c r="X128" i="5"/>
  <c r="T128" i="5"/>
  <c r="R128" i="5"/>
  <c r="N128" i="5"/>
  <c r="X127" i="5"/>
  <c r="T127" i="5"/>
  <c r="R127" i="5"/>
  <c r="N127" i="5"/>
  <c r="X126" i="5"/>
  <c r="T126" i="5"/>
  <c r="R126" i="5"/>
  <c r="N126" i="5"/>
  <c r="X125" i="5"/>
  <c r="T125" i="5"/>
  <c r="R125" i="5"/>
  <c r="N125" i="5"/>
  <c r="X124" i="5"/>
  <c r="T124" i="5"/>
  <c r="R124" i="5"/>
  <c r="N124" i="5"/>
  <c r="X123" i="5"/>
  <c r="T123" i="5"/>
  <c r="R123" i="5"/>
  <c r="N123" i="5"/>
  <c r="X122" i="5"/>
  <c r="T122" i="5"/>
  <c r="R122" i="5"/>
  <c r="N122" i="5"/>
  <c r="X121" i="5"/>
  <c r="T121" i="5"/>
  <c r="R121" i="5"/>
  <c r="N121" i="5"/>
  <c r="X120" i="5"/>
  <c r="T120" i="5"/>
  <c r="R120" i="5"/>
  <c r="N120" i="5"/>
  <c r="X119" i="5"/>
  <c r="T119" i="5"/>
  <c r="R119" i="5"/>
  <c r="N119" i="5"/>
  <c r="X118" i="5"/>
  <c r="T118" i="5"/>
  <c r="R118" i="5"/>
  <c r="N118" i="5"/>
  <c r="X117" i="5"/>
  <c r="T117" i="5"/>
  <c r="R117" i="5"/>
  <c r="N117" i="5"/>
  <c r="X116" i="5"/>
  <c r="T116" i="5"/>
  <c r="R116" i="5"/>
  <c r="N116" i="5"/>
  <c r="X115" i="5"/>
  <c r="T115" i="5"/>
  <c r="R115" i="5"/>
  <c r="N115" i="5"/>
  <c r="X114" i="5"/>
  <c r="T114" i="5"/>
  <c r="R114" i="5"/>
  <c r="N114" i="5"/>
  <c r="X113" i="5"/>
  <c r="T113" i="5"/>
  <c r="R113" i="5"/>
  <c r="N113" i="5"/>
  <c r="X112" i="5"/>
  <c r="T112" i="5"/>
  <c r="R112" i="5"/>
  <c r="N112" i="5"/>
  <c r="X111" i="5"/>
  <c r="T111" i="5"/>
  <c r="R111" i="5"/>
  <c r="N111" i="5"/>
  <c r="X110" i="5"/>
  <c r="T110" i="5"/>
  <c r="R110" i="5"/>
  <c r="N110" i="5"/>
  <c r="X109" i="5"/>
  <c r="T109" i="5"/>
  <c r="R109" i="5"/>
  <c r="N109" i="5"/>
  <c r="X108" i="5"/>
  <c r="T108" i="5"/>
  <c r="R108" i="5"/>
  <c r="N108" i="5"/>
  <c r="X107" i="5"/>
  <c r="T107" i="5"/>
  <c r="R107" i="5"/>
  <c r="N107" i="5"/>
  <c r="X106" i="5"/>
  <c r="T106" i="5"/>
  <c r="R106" i="5"/>
  <c r="N106" i="5"/>
  <c r="X105" i="5"/>
  <c r="T105" i="5"/>
  <c r="R105" i="5"/>
  <c r="N105" i="5"/>
  <c r="X104" i="5"/>
  <c r="T104" i="5"/>
  <c r="R104" i="5"/>
  <c r="N104" i="5"/>
  <c r="X103" i="5"/>
  <c r="T103" i="5"/>
  <c r="R103" i="5"/>
  <c r="N103" i="5"/>
  <c r="X102" i="5"/>
  <c r="T102" i="5"/>
  <c r="R102" i="5"/>
  <c r="N102" i="5"/>
  <c r="X101" i="5"/>
  <c r="T101" i="5"/>
  <c r="R101" i="5"/>
  <c r="N101" i="5"/>
  <c r="X100" i="5"/>
  <c r="T100" i="5"/>
  <c r="R100" i="5"/>
  <c r="N100" i="5"/>
  <c r="X99" i="5"/>
  <c r="T99" i="5"/>
  <c r="R99" i="5"/>
  <c r="N99" i="5"/>
  <c r="X98" i="5"/>
  <c r="T98" i="5"/>
  <c r="R98" i="5"/>
  <c r="N98" i="5"/>
  <c r="X97" i="5"/>
  <c r="T97" i="5"/>
  <c r="R97" i="5"/>
  <c r="N97" i="5"/>
  <c r="X96" i="5"/>
  <c r="T96" i="5"/>
  <c r="R96" i="5"/>
  <c r="N96" i="5"/>
  <c r="X95" i="5"/>
  <c r="T95" i="5"/>
  <c r="R95" i="5"/>
  <c r="N95" i="5"/>
  <c r="X94" i="5"/>
  <c r="T94" i="5"/>
  <c r="R94" i="5"/>
  <c r="N94" i="5"/>
  <c r="X93" i="5"/>
  <c r="T93" i="5"/>
  <c r="R93" i="5"/>
  <c r="N93" i="5"/>
  <c r="X92" i="5"/>
  <c r="T92" i="5"/>
  <c r="R92" i="5"/>
  <c r="N92" i="5"/>
  <c r="X91" i="5"/>
  <c r="T91" i="5"/>
  <c r="R91" i="5"/>
  <c r="N91" i="5"/>
  <c r="X90" i="5"/>
  <c r="T90" i="5"/>
  <c r="R90" i="5"/>
  <c r="N90" i="5"/>
  <c r="X89" i="5"/>
  <c r="T89" i="5"/>
  <c r="R89" i="5"/>
  <c r="N89" i="5"/>
  <c r="X88" i="5"/>
  <c r="T88" i="5"/>
  <c r="R88" i="5"/>
  <c r="N88" i="5"/>
  <c r="X87" i="5"/>
  <c r="T87" i="5"/>
  <c r="R87" i="5"/>
  <c r="N87" i="5"/>
  <c r="X86" i="5"/>
  <c r="T86" i="5"/>
  <c r="R86" i="5"/>
  <c r="N86" i="5"/>
  <c r="X85" i="5"/>
  <c r="T85" i="5"/>
  <c r="R85" i="5"/>
  <c r="N85" i="5"/>
  <c r="X84" i="5"/>
  <c r="T84" i="5"/>
  <c r="R84" i="5"/>
  <c r="N84" i="5"/>
  <c r="X83" i="5"/>
  <c r="T83" i="5"/>
  <c r="R83" i="5"/>
  <c r="N83" i="5"/>
  <c r="X82" i="5"/>
  <c r="T82" i="5"/>
  <c r="R82" i="5"/>
  <c r="N82" i="5"/>
  <c r="X81" i="5"/>
  <c r="T81" i="5"/>
  <c r="R81" i="5"/>
  <c r="N81" i="5"/>
  <c r="X80" i="5"/>
  <c r="T80" i="5"/>
  <c r="R80" i="5"/>
  <c r="N80" i="5"/>
  <c r="X79" i="5"/>
  <c r="T79" i="5"/>
  <c r="R79" i="5"/>
  <c r="N79" i="5"/>
  <c r="X78" i="5"/>
  <c r="T78" i="5"/>
  <c r="R78" i="5"/>
  <c r="N78" i="5"/>
  <c r="X77" i="5"/>
  <c r="T77" i="5"/>
  <c r="R77" i="5"/>
  <c r="N77" i="5"/>
  <c r="X76" i="5"/>
  <c r="T76" i="5"/>
  <c r="R76" i="5"/>
  <c r="N76" i="5"/>
  <c r="X75" i="5"/>
  <c r="T75" i="5"/>
  <c r="R75" i="5"/>
  <c r="N75" i="5"/>
  <c r="X74" i="5"/>
  <c r="T74" i="5"/>
  <c r="R74" i="5"/>
  <c r="N74" i="5"/>
  <c r="X73" i="5"/>
  <c r="T73" i="5"/>
  <c r="R73" i="5"/>
  <c r="N73" i="5"/>
  <c r="X72" i="5"/>
  <c r="T72" i="5"/>
  <c r="R72" i="5"/>
  <c r="N72" i="5"/>
  <c r="X71" i="5"/>
  <c r="T71" i="5"/>
  <c r="R71" i="5"/>
  <c r="N71" i="5"/>
  <c r="X70" i="5"/>
  <c r="T70" i="5"/>
  <c r="R70" i="5"/>
  <c r="N70" i="5"/>
  <c r="X69" i="5"/>
  <c r="T69" i="5"/>
  <c r="R69" i="5"/>
  <c r="N69" i="5"/>
  <c r="X68" i="5"/>
  <c r="T68" i="5"/>
  <c r="R68" i="5"/>
  <c r="N68" i="5"/>
  <c r="X67" i="5"/>
  <c r="T67" i="5"/>
  <c r="R67" i="5"/>
  <c r="N67" i="5"/>
  <c r="X66" i="5"/>
  <c r="T66" i="5"/>
  <c r="R66" i="5"/>
  <c r="N66" i="5"/>
  <c r="X65" i="5"/>
  <c r="T65" i="5"/>
  <c r="R65" i="5"/>
  <c r="N65" i="5"/>
  <c r="X64" i="5"/>
  <c r="T64" i="5"/>
  <c r="R64" i="5"/>
  <c r="N64" i="5"/>
  <c r="X63" i="5"/>
  <c r="T63" i="5"/>
  <c r="R63" i="5"/>
  <c r="N63" i="5"/>
  <c r="X62" i="5"/>
  <c r="T62" i="5"/>
  <c r="R62" i="5"/>
  <c r="N62" i="5"/>
  <c r="X61" i="5"/>
  <c r="T61" i="5"/>
  <c r="R61" i="5"/>
  <c r="N61" i="5"/>
  <c r="X60" i="5"/>
  <c r="T60" i="5"/>
  <c r="R60" i="5"/>
  <c r="N60" i="5"/>
  <c r="X59" i="5"/>
  <c r="T59" i="5"/>
  <c r="R59" i="5"/>
  <c r="N59" i="5"/>
  <c r="X58" i="5"/>
  <c r="T58" i="5"/>
  <c r="R58" i="5"/>
  <c r="N58" i="5"/>
  <c r="X57" i="5"/>
  <c r="T57" i="5"/>
  <c r="R57" i="5"/>
  <c r="N57" i="5"/>
  <c r="X56" i="5"/>
  <c r="T56" i="5"/>
  <c r="R56" i="5"/>
  <c r="N56" i="5"/>
  <c r="X55" i="5"/>
  <c r="T55" i="5"/>
  <c r="R55" i="5"/>
  <c r="N55" i="5"/>
  <c r="X54" i="5"/>
  <c r="T54" i="5"/>
  <c r="R54" i="5"/>
  <c r="N54" i="5"/>
  <c r="X53" i="5"/>
  <c r="T53" i="5"/>
  <c r="R53" i="5"/>
  <c r="N53" i="5"/>
  <c r="X52" i="5"/>
  <c r="T52" i="5"/>
  <c r="R52" i="5"/>
  <c r="N52" i="5"/>
  <c r="X51" i="5"/>
  <c r="T51" i="5"/>
  <c r="R51" i="5"/>
  <c r="N51" i="5"/>
  <c r="X50" i="5"/>
  <c r="T50" i="5"/>
  <c r="R50" i="5"/>
  <c r="N50" i="5"/>
  <c r="X49" i="5"/>
  <c r="T49" i="5"/>
  <c r="R49" i="5"/>
  <c r="N49" i="5"/>
  <c r="X48" i="5"/>
  <c r="T48" i="5"/>
  <c r="R48" i="5"/>
  <c r="N48" i="5"/>
  <c r="X47" i="5"/>
  <c r="T47" i="5"/>
  <c r="R47" i="5"/>
  <c r="N47" i="5"/>
  <c r="X46" i="5"/>
  <c r="T46" i="5"/>
  <c r="R46" i="5"/>
  <c r="N46" i="5"/>
  <c r="X45" i="5"/>
  <c r="T45" i="5"/>
  <c r="R45" i="5"/>
  <c r="N45" i="5"/>
  <c r="X44" i="5"/>
  <c r="T44" i="5"/>
  <c r="R44" i="5"/>
  <c r="N44" i="5"/>
  <c r="X43" i="5"/>
  <c r="T43" i="5"/>
  <c r="R43" i="5"/>
  <c r="N43" i="5"/>
  <c r="X42" i="5"/>
  <c r="T42" i="5"/>
  <c r="R42" i="5"/>
  <c r="N42" i="5"/>
  <c r="X41" i="5"/>
  <c r="T41" i="5"/>
  <c r="R41" i="5"/>
  <c r="N41" i="5"/>
  <c r="X40" i="5"/>
  <c r="T40" i="5"/>
  <c r="R40" i="5"/>
  <c r="N40" i="5"/>
  <c r="X39" i="5"/>
  <c r="T39" i="5"/>
  <c r="R39" i="5"/>
  <c r="N39" i="5"/>
  <c r="X38" i="5"/>
  <c r="T38" i="5"/>
  <c r="R38" i="5"/>
  <c r="N38" i="5"/>
  <c r="X37" i="5"/>
  <c r="T37" i="5"/>
  <c r="R37" i="5"/>
  <c r="N37" i="5"/>
  <c r="X36" i="5"/>
  <c r="T36" i="5"/>
  <c r="R36" i="5"/>
  <c r="N36" i="5"/>
  <c r="X35" i="5"/>
  <c r="T35" i="5"/>
  <c r="R35" i="5"/>
  <c r="N35" i="5"/>
  <c r="X34" i="5"/>
  <c r="T34" i="5"/>
  <c r="R34" i="5"/>
  <c r="N34" i="5"/>
  <c r="X33" i="5"/>
  <c r="T33" i="5"/>
  <c r="R33" i="5"/>
  <c r="N33" i="5"/>
  <c r="X32" i="5"/>
  <c r="T32" i="5"/>
  <c r="R32" i="5"/>
  <c r="N32" i="5"/>
  <c r="X31" i="5"/>
  <c r="T31" i="5"/>
  <c r="R31" i="5"/>
  <c r="N31" i="5"/>
  <c r="X30" i="5"/>
  <c r="T30" i="5"/>
  <c r="R30" i="5"/>
  <c r="N30" i="5"/>
  <c r="X29" i="5"/>
  <c r="T29" i="5"/>
  <c r="R29" i="5"/>
  <c r="N29" i="5"/>
  <c r="X28" i="5"/>
  <c r="T28" i="5"/>
  <c r="R28" i="5"/>
  <c r="N28" i="5"/>
  <c r="X27" i="5"/>
  <c r="T27" i="5"/>
  <c r="R27" i="5"/>
  <c r="N27" i="5"/>
  <c r="X26" i="5"/>
  <c r="T26" i="5"/>
  <c r="R26" i="5"/>
  <c r="N26" i="5"/>
  <c r="X25" i="5"/>
  <c r="T25" i="5"/>
  <c r="R25" i="5"/>
  <c r="N25" i="5"/>
  <c r="X24" i="5"/>
  <c r="T24" i="5"/>
  <c r="R24" i="5"/>
  <c r="N24" i="5"/>
  <c r="X23" i="5"/>
  <c r="T23" i="5"/>
  <c r="R23" i="5"/>
  <c r="N23" i="5"/>
  <c r="X22" i="5"/>
  <c r="T22" i="5"/>
  <c r="R22" i="5"/>
  <c r="N22" i="5"/>
  <c r="X21" i="5"/>
  <c r="T21" i="5"/>
  <c r="R21" i="5"/>
  <c r="N21" i="5"/>
  <c r="X20" i="5"/>
  <c r="T20" i="5"/>
  <c r="R20" i="5"/>
  <c r="N20" i="5"/>
  <c r="X19" i="5"/>
  <c r="T19" i="5"/>
  <c r="R19" i="5"/>
  <c r="N19" i="5"/>
  <c r="X18" i="5"/>
  <c r="T18" i="5"/>
  <c r="R18" i="5"/>
  <c r="N18" i="5"/>
  <c r="X17" i="5"/>
  <c r="T17" i="5"/>
  <c r="R17" i="5"/>
  <c r="N17" i="5"/>
  <c r="X16" i="5"/>
  <c r="T16" i="5"/>
  <c r="R16" i="5"/>
  <c r="N16" i="5"/>
  <c r="X15" i="5"/>
  <c r="T15" i="5"/>
  <c r="R15" i="5"/>
  <c r="N15" i="5"/>
  <c r="X14" i="5"/>
  <c r="T14" i="5"/>
  <c r="R14" i="5"/>
  <c r="N14" i="5"/>
  <c r="X13" i="5"/>
  <c r="T13" i="5"/>
  <c r="R13" i="5"/>
  <c r="N13" i="5"/>
  <c r="X12" i="5"/>
  <c r="T12" i="5"/>
  <c r="R12" i="5"/>
  <c r="N12" i="5"/>
  <c r="X11" i="5"/>
  <c r="T11" i="5"/>
  <c r="R11" i="5"/>
  <c r="N11" i="5"/>
  <c r="X10" i="5"/>
  <c r="T10" i="5"/>
  <c r="R10" i="5"/>
  <c r="N10" i="5"/>
  <c r="X9" i="5"/>
  <c r="T9" i="5"/>
  <c r="R9" i="5"/>
  <c r="N9" i="5"/>
  <c r="X8" i="5"/>
  <c r="T8" i="5"/>
  <c r="R8" i="5"/>
  <c r="N8" i="5"/>
  <c r="X7" i="5"/>
  <c r="T7" i="5"/>
  <c r="R7" i="5"/>
  <c r="N7" i="5"/>
  <c r="X6" i="5"/>
  <c r="T6" i="5"/>
  <c r="R6" i="5"/>
  <c r="N6" i="5"/>
  <c r="X5" i="5"/>
  <c r="T5" i="5"/>
  <c r="R5" i="5"/>
  <c r="N5" i="5"/>
  <c r="X4" i="5"/>
  <c r="T4" i="5"/>
  <c r="R4" i="5"/>
  <c r="N4" i="5"/>
  <c r="X3" i="5"/>
  <c r="T3" i="5"/>
  <c r="R3" i="5"/>
  <c r="N3" i="5"/>
  <c r="X2" i="5"/>
  <c r="T2" i="5"/>
  <c r="R2" i="5"/>
  <c r="N2" i="5"/>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alcChain>
</file>

<file path=xl/sharedStrings.xml><?xml version="1.0" encoding="utf-8"?>
<sst xmlns="http://schemas.openxmlformats.org/spreadsheetml/2006/main" count="13289" uniqueCount="573">
  <si>
    <t>VIN</t>
  </si>
  <si>
    <t>Make</t>
  </si>
  <si>
    <t>Model</t>
  </si>
  <si>
    <t>Vehicle_Category</t>
  </si>
  <si>
    <t>Vehicle_Sub_Category</t>
  </si>
  <si>
    <t>Market_Segment</t>
  </si>
  <si>
    <t>Sale_Price</t>
  </si>
  <si>
    <t>Sale_Price_Segment</t>
  </si>
  <si>
    <t>Customer_Name</t>
  </si>
  <si>
    <t>Customer_Email</t>
  </si>
  <si>
    <t>Dealer_Name</t>
  </si>
  <si>
    <t>Dealer_Region</t>
  </si>
  <si>
    <t>Fuel_Type</t>
  </si>
  <si>
    <t>Engine_Size</t>
  </si>
  <si>
    <t>Color</t>
  </si>
  <si>
    <t>Mileage</t>
  </si>
  <si>
    <t>Model_Year</t>
  </si>
  <si>
    <t>Sales_Date_A</t>
  </si>
  <si>
    <t>Sales_Date_Month</t>
  </si>
  <si>
    <t>Quarter</t>
  </si>
  <si>
    <t>2T1BURHE0JC054321</t>
  </si>
  <si>
    <t>Toyota</t>
  </si>
  <si>
    <t>Corolla</t>
  </si>
  <si>
    <t>Sedan</t>
  </si>
  <si>
    <t>Subcompact/Compact Car</t>
  </si>
  <si>
    <t>Standard</t>
  </si>
  <si>
    <t>Under $25,000</t>
  </si>
  <si>
    <t>Sarah Johnson</t>
  </si>
  <si>
    <t>sarah.j@gmail.com</t>
  </si>
  <si>
    <t>Toyota Center</t>
  </si>
  <si>
    <t>West</t>
  </si>
  <si>
    <t>Gasoline</t>
  </si>
  <si>
    <t>1.8L</t>
  </si>
  <si>
    <t>White</t>
  </si>
  <si>
    <t>Jan</t>
  </si>
  <si>
    <t>Q1</t>
  </si>
  <si>
    <t>KMHCT4AE9CU987654</t>
  </si>
  <si>
    <t>Prius</t>
  </si>
  <si>
    <t>Hatchback</t>
  </si>
  <si>
    <t>Hybrid</t>
  </si>
  <si>
    <t>Eco-Friendly</t>
  </si>
  <si>
    <t>$25K-$39.9K</t>
  </si>
  <si>
    <t>Robert Wilson</t>
  </si>
  <si>
    <t>rwilson@email.com</t>
  </si>
  <si>
    <t>Hyundai Plus</t>
  </si>
  <si>
    <t>2.4L</t>
  </si>
  <si>
    <t>Black</t>
  </si>
  <si>
    <t>Feb</t>
  </si>
  <si>
    <t>1HGCV1F36JA123456</t>
  </si>
  <si>
    <t>Patricia Martinez</t>
  </si>
  <si>
    <t>p.martinez@gmail.com</t>
  </si>
  <si>
    <t>metro honda</t>
  </si>
  <si>
    <t>Northeast</t>
  </si>
  <si>
    <t>1.5L</t>
  </si>
  <si>
    <t>Silver</t>
  </si>
  <si>
    <t>Mar</t>
  </si>
  <si>
    <t>1HGCV1F36JA123451</t>
  </si>
  <si>
    <t>4T1BF1FK8EU123456</t>
  </si>
  <si>
    <t>James Anderson</t>
  </si>
  <si>
    <t>james.anderson@email.com</t>
  </si>
  <si>
    <t>2.5L</t>
  </si>
  <si>
    <t>Blue</t>
  </si>
  <si>
    <t>1FTEW1E50JKF12345</t>
  </si>
  <si>
    <t>Camry</t>
  </si>
  <si>
    <t>Mid/Full-Size Car</t>
  </si>
  <si>
    <t>Daniel Harris</t>
  </si>
  <si>
    <t>d.harris@email.com</t>
  </si>
  <si>
    <t>Ford Country</t>
  </si>
  <si>
    <t>Midwest</t>
  </si>
  <si>
    <t>5.0L</t>
  </si>
  <si>
    <t>Red</t>
  </si>
  <si>
    <t>4T1BF1FK3EU123461</t>
  </si>
  <si>
    <t>Avalon</t>
  </si>
  <si>
    <t>Full-Size Car</t>
  </si>
  <si>
    <t>Philip Martin</t>
  </si>
  <si>
    <t>p.martin@email.com</t>
  </si>
  <si>
    <t>toyota center</t>
  </si>
  <si>
    <t>3.5L</t>
  </si>
  <si>
    <t>Jul</t>
  </si>
  <si>
    <t>Q3</t>
  </si>
  <si>
    <t>1C4RJFBG7KC123461</t>
  </si>
  <si>
    <t>Hybid</t>
  </si>
  <si>
    <t>Gloria Lee</t>
  </si>
  <si>
    <t>g.lee@gmail.com</t>
  </si>
  <si>
    <t>jeep nation</t>
  </si>
  <si>
    <t>South</t>
  </si>
  <si>
    <t>3.6L</t>
  </si>
  <si>
    <t>Orange</t>
  </si>
  <si>
    <t>4T1BF1FK4EU123462</t>
  </si>
  <si>
    <t>Sequoia</t>
  </si>
  <si>
    <t>SUV</t>
  </si>
  <si>
    <t>Compact SUV</t>
  </si>
  <si>
    <t>$40K-$59.9K</t>
  </si>
  <si>
    <t>Martha Anderson</t>
  </si>
  <si>
    <t>m.anderson@email.com</t>
  </si>
  <si>
    <t>5.7L</t>
  </si>
  <si>
    <t>1G1ZB5ST3JF123462</t>
  </si>
  <si>
    <t>Sandra Harris</t>
  </si>
  <si>
    <t>s.harris@email.com</t>
  </si>
  <si>
    <t>Chevy World</t>
  </si>
  <si>
    <t>5.3L</t>
  </si>
  <si>
    <t>Gray</t>
  </si>
  <si>
    <t>1HGCV1F43JA123463</t>
  </si>
  <si>
    <t>RAV4</t>
  </si>
  <si>
    <t>SVU</t>
  </si>
  <si>
    <t>Mid/Full-Size SUV</t>
  </si>
  <si>
    <t>Betty Thompson</t>
  </si>
  <si>
    <t>b.thompson@email.com</t>
  </si>
  <si>
    <t>Aug</t>
  </si>
  <si>
    <t>4T1BF1FK5EU123463</t>
  </si>
  <si>
    <t>Highlander</t>
  </si>
  <si>
    <t>Luxury/Performance</t>
  </si>
  <si>
    <t>Kenneth Garcia</t>
  </si>
  <si>
    <t>k.garcia@email.com</t>
  </si>
  <si>
    <t>KM8J3CA52JU123463</t>
  </si>
  <si>
    <t>Mirai</t>
  </si>
  <si>
    <t>Donald Wilson</t>
  </si>
  <si>
    <t>d.wilson@email.com</t>
  </si>
  <si>
    <t>Hydrogen</t>
  </si>
  <si>
    <t>4T1BF1FK6EU123464</t>
  </si>
  <si>
    <t>FJ Cruiser</t>
  </si>
  <si>
    <t>Michelle Jackson</t>
  </si>
  <si>
    <t>m.jackson@gmail.com</t>
  </si>
  <si>
    <t>4.0L</t>
  </si>
  <si>
    <t>Yellow</t>
  </si>
  <si>
    <t>KM8J3CA53JU123464</t>
  </si>
  <si>
    <t>Angela Harris</t>
  </si>
  <si>
    <t>a.harris@email.com</t>
  </si>
  <si>
    <t>3.8L</t>
  </si>
  <si>
    <t>4T1BF1FK7EU123465</t>
  </si>
  <si>
    <t>Venza</t>
  </si>
  <si>
    <t>Amy Moore</t>
  </si>
  <si>
    <t>a.moore@email.com</t>
  </si>
  <si>
    <t>2.7L</t>
  </si>
  <si>
    <t>Sep</t>
  </si>
  <si>
    <t>KM8J3CA54JU123465</t>
  </si>
  <si>
    <t>Nicole Anderson</t>
  </si>
  <si>
    <t>n.anderson@email.com</t>
  </si>
  <si>
    <t>hyundai plus</t>
  </si>
  <si>
    <t>1C4RJFBG9KC123465</t>
  </si>
  <si>
    <t>Brandon Thomas</t>
  </si>
  <si>
    <t>b.thomas@email.com</t>
  </si>
  <si>
    <t>Jeep Nation</t>
  </si>
  <si>
    <t>Green</t>
  </si>
  <si>
    <t>1HGCV1F46JA123466</t>
  </si>
  <si>
    <t>Gregory Martin</t>
  </si>
  <si>
    <t>g.martin@email.com</t>
  </si>
  <si>
    <t>Metro Honda</t>
  </si>
  <si>
    <t>4T1BF1FK8EU123466</t>
  </si>
  <si>
    <t>Yaris</t>
  </si>
  <si>
    <t>Christina Thompson</t>
  </si>
  <si>
    <t>c.thompson@email.com</t>
  </si>
  <si>
    <t>4T1BF1FK9EU123467</t>
  </si>
  <si>
    <t>C-HR</t>
  </si>
  <si>
    <t>Amanda Jackson</t>
  </si>
  <si>
    <t>a.jackson2@gmail.com</t>
  </si>
  <si>
    <t>2.0L</t>
  </si>
  <si>
    <t>Oct</t>
  </si>
  <si>
    <t>Q4</t>
  </si>
  <si>
    <t>KM8J3CA56JU123467</t>
  </si>
  <si>
    <t>Brittany Harris</t>
  </si>
  <si>
    <t>b.harris@email.com</t>
  </si>
  <si>
    <t>5YJSA1E34JF123468</t>
  </si>
  <si>
    <t>Rachel Lee</t>
  </si>
  <si>
    <t>r.lee2@gmail.com</t>
  </si>
  <si>
    <t>Tesla Direct</t>
  </si>
  <si>
    <t>Electric</t>
  </si>
  <si>
    <t>1HGCV1F48JA123468</t>
  </si>
  <si>
    <t>Sean Wilson</t>
  </si>
  <si>
    <t>s.wilson@email.com</t>
  </si>
  <si>
    <t>4T1BF1FK0EU123468</t>
  </si>
  <si>
    <t>Courtney Moore</t>
  </si>
  <si>
    <t>c.moore@email.com</t>
  </si>
  <si>
    <t>1C4RJFBG2KC123468</t>
  </si>
  <si>
    <t>Devin Thomas</t>
  </si>
  <si>
    <t>d.thomas2@email.com</t>
  </si>
  <si>
    <t>4T1BF1FK1EU123469</t>
  </si>
  <si>
    <t>Jenna Thompson</t>
  </si>
  <si>
    <t>j.thompson3@email.com</t>
  </si>
  <si>
    <t>Nov</t>
  </si>
  <si>
    <t>1N4AL3AP1JC123469</t>
  </si>
  <si>
    <t>Cameron Garcia</t>
  </si>
  <si>
    <t>c.garcia2@email.com</t>
  </si>
  <si>
    <t>Nissan Direct</t>
  </si>
  <si>
    <t>4T1BF1FK2EU123470</t>
  </si>
  <si>
    <t>Sierra Jackson</t>
  </si>
  <si>
    <t>s.jackson2@gmail.com</t>
  </si>
  <si>
    <t>1N4AL3AP2JC123470</t>
  </si>
  <si>
    <t>Parker White</t>
  </si>
  <si>
    <t>p.white@email.com</t>
  </si>
  <si>
    <t>3.0L</t>
  </si>
  <si>
    <t>1C4RJFBG4KC123470</t>
  </si>
  <si>
    <t>Hunter Martin</t>
  </si>
  <si>
    <t>h.martin@gmail.com</t>
  </si>
  <si>
    <t>4T1BF1FK3EU123471</t>
  </si>
  <si>
    <t>Brooke Moore</t>
  </si>
  <si>
    <t>b.moore@email.com</t>
  </si>
  <si>
    <t>Dec</t>
  </si>
  <si>
    <t>KM8J3CA60JU123471</t>
  </si>
  <si>
    <t>Peyton Anderson</t>
  </si>
  <si>
    <t>p.anderson2@email.com</t>
  </si>
  <si>
    <t>3.3L</t>
  </si>
  <si>
    <t>1C4RJFBG5KC123471</t>
  </si>
  <si>
    <t>Bryce Thomas</t>
  </si>
  <si>
    <t>b.thomas2@email.com</t>
  </si>
  <si>
    <t>6.4L</t>
  </si>
  <si>
    <t>1HGBH41JXMN109186</t>
  </si>
  <si>
    <t>Honda</t>
  </si>
  <si>
    <t>Civic</t>
  </si>
  <si>
    <t>John Smith</t>
  </si>
  <si>
    <t>john.smith@email.com</t>
  </si>
  <si>
    <t>3N1AB7AP9HY123456</t>
  </si>
  <si>
    <t>Nissan</t>
  </si>
  <si>
    <t>Altima</t>
  </si>
  <si>
    <t>Mike Davis</t>
  </si>
  <si>
    <t>m.davis@yahoo.com</t>
  </si>
  <si>
    <t>5NPE34AF5KH654329</t>
  </si>
  <si>
    <t>Hyundai</t>
  </si>
  <si>
    <t>Elantra</t>
  </si>
  <si>
    <t>Lisa Chen</t>
  </si>
  <si>
    <t>lisa.chen@outlook.com</t>
  </si>
  <si>
    <t>1C4RJFAG8KC321654</t>
  </si>
  <si>
    <t>Jeep</t>
  </si>
  <si>
    <t>Grand Cherokee</t>
  </si>
  <si>
    <t>Amanda Taylor</t>
  </si>
  <si>
    <t>a.taylor@gmail.com</t>
  </si>
  <si>
    <t>5YJSA1E26JF123456</t>
  </si>
  <si>
    <t>Tesla</t>
  </si>
  <si>
    <t>Model S</t>
  </si>
  <si>
    <t>$60K-$89.9K</t>
  </si>
  <si>
    <t>Michael Rodriguez</t>
  </si>
  <si>
    <t>mrodriguez@email.com</t>
  </si>
  <si>
    <t>1N4AL3AP8JC123456</t>
  </si>
  <si>
    <t>Mary Thomas</t>
  </si>
  <si>
    <t>mthomas@email.com</t>
  </si>
  <si>
    <t>1C4RJFBG3KC123456</t>
  </si>
  <si>
    <t>Elizabeth White</t>
  </si>
  <si>
    <t>e.white@email.com</t>
  </si>
  <si>
    <t>KM8J3CA50JU123461</t>
  </si>
  <si>
    <t>Accent</t>
  </si>
  <si>
    <t>Bobby Garcia</t>
  </si>
  <si>
    <t>b.garcia@email.com</t>
  </si>
  <si>
    <t>1.6L</t>
  </si>
  <si>
    <t>WBA8E9G63HNU12350</t>
  </si>
  <si>
    <t>BMW</t>
  </si>
  <si>
    <t>7 Series</t>
  </si>
  <si>
    <t>Keith Wilson</t>
  </si>
  <si>
    <t>k.wilson@email.com</t>
  </si>
  <si>
    <t>BMW Elite</t>
  </si>
  <si>
    <t>1N4AL3AP4JC123465</t>
  </si>
  <si>
    <t>Armada</t>
  </si>
  <si>
    <t>Terry Thomas</t>
  </si>
  <si>
    <t>t.thomas@email.com</t>
  </si>
  <si>
    <t>5.6L</t>
  </si>
  <si>
    <t>1FTEW1E55JKF12350</t>
  </si>
  <si>
    <t>Ford</t>
  </si>
  <si>
    <t>Bronco</t>
  </si>
  <si>
    <t>Gerald White</t>
  </si>
  <si>
    <t>g.white@email.com</t>
  </si>
  <si>
    <t>2.3L</t>
  </si>
  <si>
    <t>WBA8E9G64HNU12359</t>
  </si>
  <si>
    <t>8 Series</t>
  </si>
  <si>
    <t>Coupe</t>
  </si>
  <si>
    <t>Luxury Coupe</t>
  </si>
  <si>
    <t>$90K-$129.9K</t>
  </si>
  <si>
    <t>Paul Martin</t>
  </si>
  <si>
    <t>p.martin2@email.com</t>
  </si>
  <si>
    <t>1C4RJFBG8KC123464</t>
  </si>
  <si>
    <t>Commander</t>
  </si>
  <si>
    <t>Matthew Martin</t>
  </si>
  <si>
    <t>m.martin@gmail.com</t>
  </si>
  <si>
    <t>3.7L</t>
  </si>
  <si>
    <t>1G1ZB5ST6JF123465</t>
  </si>
  <si>
    <t>Chevrolet</t>
  </si>
  <si>
    <t>Blazer</t>
  </si>
  <si>
    <t>Zachary White</t>
  </si>
  <si>
    <t>z.white@email.com</t>
  </si>
  <si>
    <t>1FTEW1E59JKF12354</t>
  </si>
  <si>
    <t>EcoSport</t>
  </si>
  <si>
    <t>Megan Moore</t>
  </si>
  <si>
    <t>m.moore2@email.com</t>
  </si>
  <si>
    <t>1.0L</t>
  </si>
  <si>
    <t>1C4RJFBG1KC123467</t>
  </si>
  <si>
    <t>Avenger</t>
  </si>
  <si>
    <t>Tyler Martin</t>
  </si>
  <si>
    <t>t.martin@gmail.com</t>
  </si>
  <si>
    <t>1.3L</t>
  </si>
  <si>
    <t>1G1ZB5ST9JF123468</t>
  </si>
  <si>
    <t>Bolt</t>
  </si>
  <si>
    <t>Marcus White</t>
  </si>
  <si>
    <t>m.white@email.com</t>
  </si>
  <si>
    <t>KM8J3CA59JU123470</t>
  </si>
  <si>
    <t>Elantra N</t>
  </si>
  <si>
    <t>Savannah Harris</t>
  </si>
  <si>
    <t>s.harris3@email.com</t>
  </si>
  <si>
    <t>1FTEW1E63JKF12358</t>
  </si>
  <si>
    <t>Bronco Sport</t>
  </si>
  <si>
    <t>Destiny Thompson</t>
  </si>
  <si>
    <t>d.thompson2@email.com</t>
  </si>
  <si>
    <t>WBA8E9G68HNU12355</t>
  </si>
  <si>
    <t>M3</t>
  </si>
  <si>
    <t>Autumn Lee</t>
  </si>
  <si>
    <t>a.lee@gmail.com</t>
  </si>
  <si>
    <t>1N4AL3AP3JC123479</t>
  </si>
  <si>
    <t>GT-R</t>
  </si>
  <si>
    <t>Other</t>
  </si>
  <si>
    <t>Easton Taylor</t>
  </si>
  <si>
    <t>e.taylor@gmail.com</t>
  </si>
  <si>
    <t>1C4RJFBG3KC123451</t>
  </si>
  <si>
    <t>1FTEW1E59JKF12351</t>
  </si>
  <si>
    <t>1N4AL3AP4JC123461</t>
  </si>
  <si>
    <t>1C4RJFBG1KC123461</t>
  </si>
  <si>
    <t>1C4RJFBG3KC123452</t>
  </si>
  <si>
    <t>1N4AL3AP3JC123471</t>
  </si>
  <si>
    <t>1G1ZB5ST6JF123461</t>
  </si>
  <si>
    <t>KM8J3CA59JU123471</t>
  </si>
  <si>
    <t>1FTEW1E63JKF12351</t>
  </si>
  <si>
    <t>1C4RJFBG1KC123462</t>
  </si>
  <si>
    <t>1C4RJFAG8KC321651</t>
  </si>
  <si>
    <t>1FTEW1E63JKF12352</t>
  </si>
  <si>
    <t>5NPE34AF5KH654321</t>
  </si>
  <si>
    <t>1G1ZB5ST9JF123461</t>
  </si>
  <si>
    <t>1C4RJFBG1KC123463</t>
  </si>
  <si>
    <t>3N1AB7AP9HY123451</t>
  </si>
  <si>
    <t>1FTEW1E63JKF12353</t>
  </si>
  <si>
    <t>1N4AL3AP8JC123451</t>
  </si>
  <si>
    <t>3N1AB7AP9HY123452</t>
  </si>
  <si>
    <t>1C4RJFBG1KC123464</t>
  </si>
  <si>
    <t>1HGBH41JXMN109181</t>
  </si>
  <si>
    <t>1N4AL3AP3JC123472</t>
  </si>
  <si>
    <t>1G1ZB5ST9JF123462</t>
  </si>
  <si>
    <t>WBA8E9G68HNU12351</t>
  </si>
  <si>
    <t>WBA8E9G64HNU12351</t>
  </si>
  <si>
    <t>1FTEW1E55JKF12351</t>
  </si>
  <si>
    <t>1N4AL3AP4JC123462</t>
  </si>
  <si>
    <t>1N4AL3AP4JC123463</t>
  </si>
  <si>
    <t>1G1ZB5ST6JF123462</t>
  </si>
  <si>
    <t>KM8J3CA59JU123472</t>
  </si>
  <si>
    <t>1FTEW1E59JKF12352</t>
  </si>
  <si>
    <t>WBA8E9G68HNU12352</t>
  </si>
  <si>
    <t>5NPE34AF5KH654322</t>
  </si>
  <si>
    <t>5YJSA1E26JF123451</t>
  </si>
  <si>
    <t>1G1ZB5ST6JF123463</t>
  </si>
  <si>
    <t>1C4RJFBG3KC123453</t>
  </si>
  <si>
    <t>1C4RJFBG1KC123465</t>
  </si>
  <si>
    <t>1C4RJFBG3KC123454</t>
  </si>
  <si>
    <t>1C4RJFBG8KC123461</t>
  </si>
  <si>
    <t>1C4RJFAG8KC321652</t>
  </si>
  <si>
    <t>WBA8E9G68HNU12353</t>
  </si>
  <si>
    <t>WBA8E9G63HNU12351</t>
  </si>
  <si>
    <t>1C4RJFBG8KC123462</t>
  </si>
  <si>
    <t>1N4AL3AP3JC123473</t>
  </si>
  <si>
    <t>1N4AL3AP3JC123474</t>
  </si>
  <si>
    <t>1C4RJFBG1KC123466</t>
  </si>
  <si>
    <t>3N1AB7AP9HY123453</t>
  </si>
  <si>
    <t>1FTEW1E59JKF12353</t>
  </si>
  <si>
    <t>1N4AL3AP4JC123464</t>
  </si>
  <si>
    <t>1C4RJFBG3KC123455</t>
  </si>
  <si>
    <t>WBA8E9G59HNU12346</t>
  </si>
  <si>
    <t>Joseph Thompson</t>
  </si>
  <si>
    <t>j.thompson@email.com</t>
  </si>
  <si>
    <t>Apr</t>
  </si>
  <si>
    <t>Q2</t>
  </si>
  <si>
    <t>5YJSA1E27JF123457</t>
  </si>
  <si>
    <t>Nancy Garcia</t>
  </si>
  <si>
    <t>n.garcia@email.com</t>
  </si>
  <si>
    <t>4T1BF1FK9EU123457</t>
  </si>
  <si>
    <t>Linda Wilson</t>
  </si>
  <si>
    <t>l.wilson@email.com</t>
  </si>
  <si>
    <t>1G1ZB5ST9JF123457</t>
  </si>
  <si>
    <t>Helen Jackson</t>
  </si>
  <si>
    <t>h.jackson@gmail.com</t>
  </si>
  <si>
    <t>chevy world</t>
  </si>
  <si>
    <t>WBA8E9G60HNU12347</t>
  </si>
  <si>
    <t>Edward White</t>
  </si>
  <si>
    <t>May</t>
  </si>
  <si>
    <t>4T1BF1FK0EU123458</t>
  </si>
  <si>
    <t>Ruth Thompson</t>
  </si>
  <si>
    <t>r.thompson@email.com</t>
  </si>
  <si>
    <t>1N4AL3AP0JC123458</t>
  </si>
  <si>
    <t>Joe Garcia</t>
  </si>
  <si>
    <t>j.garcia@email.com</t>
  </si>
  <si>
    <t>nissan direct</t>
  </si>
  <si>
    <t>WBA8E9G61HNU12348</t>
  </si>
  <si>
    <t>Gloria Anderson</t>
  </si>
  <si>
    <t>g.anderson@email.com</t>
  </si>
  <si>
    <t>4T1BF1FK1EU123459</t>
  </si>
  <si>
    <t>Ralph White</t>
  </si>
  <si>
    <t>r.white@email.com</t>
  </si>
  <si>
    <t>Jun</t>
  </si>
  <si>
    <t>1C4RJFBG6KC123459</t>
  </si>
  <si>
    <t>Kathryn Thompson</t>
  </si>
  <si>
    <t>k.thompson@email.com</t>
  </si>
  <si>
    <t>WBA8E9G62HNU12349</t>
  </si>
  <si>
    <t>Harold Wilson</t>
  </si>
  <si>
    <t>h.wilson@email.com</t>
  </si>
  <si>
    <t>4T1BF1FK2EU123460</t>
  </si>
  <si>
    <t>Tacoma</t>
  </si>
  <si>
    <t>Truck</t>
  </si>
  <si>
    <t>Pickup Truck</t>
  </si>
  <si>
    <t>Roy Taylor</t>
  </si>
  <si>
    <t>r.taylor@email.com</t>
  </si>
  <si>
    <t>5YJSA1E30JF123462</t>
  </si>
  <si>
    <t>Eugene White</t>
  </si>
  <si>
    <t>e.white2@email.com</t>
  </si>
  <si>
    <t>1HGCV1F37JA123457</t>
  </si>
  <si>
    <t>Accord</t>
  </si>
  <si>
    <t>Kenneth Lee</t>
  </si>
  <si>
    <t>k.lee@gmail.com</t>
  </si>
  <si>
    <t>5YJSA1E28JF123458</t>
  </si>
  <si>
    <t>Model Y</t>
  </si>
  <si>
    <t>Donna Harris</t>
  </si>
  <si>
    <t>WBA8E9G59HNU12341</t>
  </si>
  <si>
    <t>5YJSA1E27JF123451</t>
  </si>
  <si>
    <t>4T1BF1FK9EU123451</t>
  </si>
  <si>
    <t>1G1ZB5ST9JF123451</t>
  </si>
  <si>
    <t>WBA8E9G60HNU12341</t>
  </si>
  <si>
    <t>4T1BF1FK0EU123451</t>
  </si>
  <si>
    <t>1N4AL3AP0JC123451</t>
  </si>
  <si>
    <t>WBA8E9G61HNU12341</t>
  </si>
  <si>
    <t>4T1BF1FK1EU123451</t>
  </si>
  <si>
    <t>1C4RJFBG6KC123451</t>
  </si>
  <si>
    <t>WBA8E9G62HNU12341</t>
  </si>
  <si>
    <t>4T1BF1FK2EU123461</t>
  </si>
  <si>
    <t>5YJSA1E30JF123461</t>
  </si>
  <si>
    <t>1HGCV1F37JA123451</t>
  </si>
  <si>
    <t>5YJSA1E28JF123451</t>
  </si>
  <si>
    <t>WBA8E9G59HNU12342</t>
  </si>
  <si>
    <t>5YJSA1E27JF123452</t>
  </si>
  <si>
    <t>4T1BF1FK9EU123452</t>
  </si>
  <si>
    <t>1G1ZB5ST9JF123452</t>
  </si>
  <si>
    <t>WBA8E9G60HNU12342</t>
  </si>
  <si>
    <t>4T1BF1FK0EU123452</t>
  </si>
  <si>
    <t>1N4AL3AP0JC123452</t>
  </si>
  <si>
    <t>WBA8E9G61HNU12342</t>
  </si>
  <si>
    <t>4T1BF1FK1EU123452</t>
  </si>
  <si>
    <t>1C4RJFBG6KC123452</t>
  </si>
  <si>
    <t>WBA8E9G62HNU12342</t>
  </si>
  <si>
    <t>4T1BF1FK2EU123462</t>
  </si>
  <si>
    <t>5YJSA1E30JF123463</t>
  </si>
  <si>
    <t>1HGCV1F37JA123452</t>
  </si>
  <si>
    <t>5YJSA1E28JF123452</t>
  </si>
  <si>
    <t>Exercise 1:</t>
  </si>
  <si>
    <t xml:space="preserve">MY Commentary </t>
  </si>
  <si>
    <t>1. Download sales data</t>
  </si>
  <si>
    <t>1. Create pivot tables to analyze:Sales by vehicle category;Sales by time period: Months, Quarters;Regional performance comparisons</t>
  </si>
  <si>
    <t>2. Remove duplicate vehicle sales records</t>
  </si>
  <si>
    <t>Completed via data tab remove duplicates</t>
  </si>
  <si>
    <t xml:space="preserve">2. Calculate key automotive sales metrics:Total vehicle sales by value and units; Average selling price by make/model;Sales performance by vehicle category </t>
  </si>
  <si>
    <t>3. Determine a unique car sale</t>
  </si>
  <si>
    <t>Used Vin column to determine a unique car sale</t>
  </si>
  <si>
    <t>4. Handle missing values</t>
  </si>
  <si>
    <t xml:space="preserve">Used ISBLANK formula to mark as Unknown via helper colunmns  and filter to check for missing values. </t>
  </si>
  <si>
    <t>5. Format data consistently</t>
  </si>
  <si>
    <t>Set auto fit, Set font and Size, format columns per data type, find and replace spelling of Hybrid, correct spelling of SUV</t>
  </si>
  <si>
    <t>6. Document your cleaning process</t>
  </si>
  <si>
    <t>Find and replace spelling of Hybrid, correct spelling of SUV, split customer name to first name and last name, replace / with _, Convert sales date to data format using a helper column ( note I used international standard date format that is used in clinical research). Assume date as last date of month to capture all sales for the month since the raw data did not include the actual day of sale ( just year and month).</t>
  </si>
  <si>
    <t>sedan</t>
  </si>
  <si>
    <t>CUSTOMER_First Name</t>
  </si>
  <si>
    <t>CUSTOMER_Last Name</t>
  </si>
  <si>
    <t>UNKNOWN_Dealer_Name</t>
  </si>
  <si>
    <t>UNKNOWN Engine_Size</t>
  </si>
  <si>
    <t>UNKNOWN Color</t>
  </si>
  <si>
    <t>CONVERT Sales_Date_A</t>
  </si>
  <si>
    <t>Subcompact_Compact Car</t>
  </si>
  <si>
    <t>Sarah</t>
  </si>
  <si>
    <t>Johnson</t>
  </si>
  <si>
    <t>Robert</t>
  </si>
  <si>
    <t>Wilson</t>
  </si>
  <si>
    <t>Patricia</t>
  </si>
  <si>
    <t>Martinez</t>
  </si>
  <si>
    <t>James</t>
  </si>
  <si>
    <t>Anderson</t>
  </si>
  <si>
    <t>Mid_Full-Size Car</t>
  </si>
  <si>
    <t>Daniel</t>
  </si>
  <si>
    <t>Harris</t>
  </si>
  <si>
    <t>Philip</t>
  </si>
  <si>
    <t>Martin</t>
  </si>
  <si>
    <t>Gloria</t>
  </si>
  <si>
    <t>Lee</t>
  </si>
  <si>
    <t>Martha</t>
  </si>
  <si>
    <t>Sandra</t>
  </si>
  <si>
    <t>Mid_Full-Size SUV</t>
  </si>
  <si>
    <t>Betty</t>
  </si>
  <si>
    <t>Thompson</t>
  </si>
  <si>
    <t>Luxury_Performance</t>
  </si>
  <si>
    <t>Kenneth</t>
  </si>
  <si>
    <t>Garcia</t>
  </si>
  <si>
    <t>Donald</t>
  </si>
  <si>
    <t>Michelle</t>
  </si>
  <si>
    <t>Jackson</t>
  </si>
  <si>
    <t>Angela</t>
  </si>
  <si>
    <t>Amy</t>
  </si>
  <si>
    <t>Moore</t>
  </si>
  <si>
    <t>Nicole</t>
  </si>
  <si>
    <t>Brandon</t>
  </si>
  <si>
    <t>Thomas</t>
  </si>
  <si>
    <t>Gregory</t>
  </si>
  <si>
    <t>Christina</t>
  </si>
  <si>
    <t>Amanda</t>
  </si>
  <si>
    <t>Brittany</t>
  </si>
  <si>
    <t>Rachel</t>
  </si>
  <si>
    <t>Sean</t>
  </si>
  <si>
    <t>Courtney</t>
  </si>
  <si>
    <t>Devin</t>
  </si>
  <si>
    <t>Jenna</t>
  </si>
  <si>
    <t>Cameron</t>
  </si>
  <si>
    <t>Sierra</t>
  </si>
  <si>
    <t>Parker</t>
  </si>
  <si>
    <t>Hunter</t>
  </si>
  <si>
    <t>Brooke</t>
  </si>
  <si>
    <t>Peyton</t>
  </si>
  <si>
    <t>Bryce</t>
  </si>
  <si>
    <t>John</t>
  </si>
  <si>
    <t>Smith</t>
  </si>
  <si>
    <t>Mike</t>
  </si>
  <si>
    <t>Davis</t>
  </si>
  <si>
    <t>Lisa</t>
  </si>
  <si>
    <t>Chen</t>
  </si>
  <si>
    <t>Taylor</t>
  </si>
  <si>
    <t>Michael</t>
  </si>
  <si>
    <t>Rodriguez</t>
  </si>
  <si>
    <t>Mary</t>
  </si>
  <si>
    <t>Elizabeth</t>
  </si>
  <si>
    <t>Bobby</t>
  </si>
  <si>
    <t>Keith</t>
  </si>
  <si>
    <t>Terry</t>
  </si>
  <si>
    <t>Gerald</t>
  </si>
  <si>
    <t>Paul</t>
  </si>
  <si>
    <t>Matthew</t>
  </si>
  <si>
    <t>Zachary</t>
  </si>
  <si>
    <t>Megan</t>
  </si>
  <si>
    <t>Tyler</t>
  </si>
  <si>
    <t>Marcus</t>
  </si>
  <si>
    <t>Savannah</t>
  </si>
  <si>
    <t>Destiny</t>
  </si>
  <si>
    <t>Autumn</t>
  </si>
  <si>
    <t>Easton</t>
  </si>
  <si>
    <t>Joseph</t>
  </si>
  <si>
    <t>Nancy</t>
  </si>
  <si>
    <t>Linda</t>
  </si>
  <si>
    <t>Helen</t>
  </si>
  <si>
    <t>Edward</t>
  </si>
  <si>
    <t>Ruth</t>
  </si>
  <si>
    <t>Joe</t>
  </si>
  <si>
    <t>Ralph</t>
  </si>
  <si>
    <t>Kathryn</t>
  </si>
  <si>
    <t>Harold</t>
  </si>
  <si>
    <t>Roy</t>
  </si>
  <si>
    <t>Eugene</t>
  </si>
  <si>
    <t>Donna</t>
  </si>
  <si>
    <t>Sum of Sale_Price</t>
  </si>
  <si>
    <t>BMW Total</t>
  </si>
  <si>
    <t>Chevrolet Total</t>
  </si>
  <si>
    <t>Ford Total</t>
  </si>
  <si>
    <t>Honda Total</t>
  </si>
  <si>
    <t>Hyundai Total</t>
  </si>
  <si>
    <t>Jeep Total</t>
  </si>
  <si>
    <t>Nissan Total</t>
  </si>
  <si>
    <t>Tesla Total</t>
  </si>
  <si>
    <t>Toyota Total</t>
  </si>
  <si>
    <t>Grand Total</t>
  </si>
  <si>
    <t>UNKNOWN</t>
  </si>
  <si>
    <t>Complete</t>
  </si>
  <si>
    <t>Exercise 2:</t>
  </si>
  <si>
    <t>Exercise 3:</t>
  </si>
  <si>
    <t>Create visualizations that clearly communicate your findings from the car sales dataset:
-Bar charts comparing sales volumes across different car makes and models
-Line charts showing monthly or quarterly sales trends
-Pie charts illustrating market share by vehicle category
-Combined charts for more complex relationships (e.g., price vs. sales volume by vehicle type)</t>
  </si>
  <si>
    <t>Row Labels</t>
  </si>
  <si>
    <t>Count of VIN</t>
  </si>
  <si>
    <t>Column Labels</t>
  </si>
  <si>
    <t>Average of Sale_Price</t>
  </si>
  <si>
    <t>(blank)</t>
  </si>
  <si>
    <t xml:space="preserve">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</si>
</sst>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409]d\-mmm\-yyyy;@"/>
  </numFmts>
  <fonts count="12" x14ac:knownFonts="1">
    <font>
      <sz val="10"/>
      <color rgb="FF000000"/>
      <name val="Arial"/>
      <scheme val="minor"/>
    </font>
    <font>
      <sz val="10"/>
      <color theme="1"/>
      <name val="Arial"/>
      <scheme val="minor"/>
    </font>
    <font>
      <sz val="10"/>
      <color theme="4" tint="-0.499984740745262"/>
      <name val="Arial"/>
      <scheme val="minor"/>
    </font>
    <font>
      <b/>
      <sz val="10"/>
      <color rgb="FF000000"/>
      <name val="Arial"/>
      <scheme val="minor"/>
    </font>
    <font>
      <sz val="12"/>
      <color theme="1"/>
      <name val="Arial"/>
      <scheme val="minor"/>
    </font>
    <font>
      <sz val="12"/>
      <color rgb="FF000000"/>
      <name val="Arial"/>
      <scheme val="minor"/>
    </font>
    <font>
      <b/>
      <sz val="11"/>
      <color rgb="FF000000"/>
      <name val="Arial"/>
      <scheme val="minor"/>
    </font>
    <font>
      <b/>
      <u/>
      <sz val="15"/>
      <color rgb="FF273540"/>
      <name val="Arial"/>
      <scheme val="major"/>
    </font>
    <font>
      <sz val="11"/>
      <color theme="4" tint="-0.499984740745262"/>
      <name val="Arial"/>
      <scheme val="minor"/>
    </font>
    <font>
      <sz val="11"/>
      <color rgb="FF093D93"/>
      <name val="Arial"/>
      <charset val="1"/>
    </font>
    <font>
      <b/>
      <sz val="10"/>
      <color rgb="FF000000"/>
      <name val="Arial"/>
      <family val="2"/>
      <scheme val="minor"/>
    </font>
    <font>
      <sz val="10"/>
      <color rgb="FF000000"/>
      <name val="Arial"/>
      <family val="2"/>
      <scheme val="minor"/>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37">
    <xf numFmtId="0" fontId="0" fillId="0" borderId="0" xfId="0" applyFont="1" applyAlignment="1"/>
    <xf numFmtId="0" fontId="1" fillId="0" borderId="0" xfId="0" applyFont="1"/>
    <xf numFmtId="0" fontId="2" fillId="0" borderId="0" xfId="0" applyFont="1" applyAlignment="1"/>
    <xf numFmtId="0" fontId="3" fillId="0" borderId="0" xfId="0" applyFont="1" applyAlignment="1">
      <alignment wrapText="1"/>
    </xf>
    <xf numFmtId="0" fontId="4" fillId="0" borderId="0" xfId="0" applyFont="1" applyAlignment="1"/>
    <xf numFmtId="164" fontId="4" fillId="0" borderId="0" xfId="0" applyNumberFormat="1" applyFont="1" applyAlignment="1"/>
    <xf numFmtId="0" fontId="5" fillId="0" borderId="0" xfId="0" applyFont="1" applyAlignment="1"/>
    <xf numFmtId="164" fontId="5" fillId="0" borderId="0" xfId="0" applyNumberFormat="1" applyFont="1" applyAlignment="1"/>
    <xf numFmtId="49" fontId="4" fillId="0" borderId="0" xfId="0" applyNumberFormat="1" applyFont="1" applyAlignment="1"/>
    <xf numFmtId="49" fontId="5" fillId="0" borderId="0" xfId="0" applyNumberFormat="1" applyFont="1" applyAlignment="1"/>
    <xf numFmtId="0" fontId="4" fillId="0" borderId="0" xfId="0" applyNumberFormat="1" applyFont="1" applyAlignment="1"/>
    <xf numFmtId="0" fontId="5" fillId="0" borderId="0" xfId="0" applyNumberFormat="1" applyFont="1" applyAlignment="1"/>
    <xf numFmtId="0" fontId="2" fillId="0" borderId="0" xfId="0" applyFont="1" applyAlignment="1">
      <alignment horizontal="center"/>
    </xf>
    <xf numFmtId="2" fontId="4" fillId="0" borderId="0" xfId="0" applyNumberFormat="1" applyFont="1" applyAlignment="1"/>
    <xf numFmtId="2" fontId="5" fillId="0" borderId="0" xfId="0" applyNumberFormat="1" applyFont="1" applyAlignment="1"/>
    <xf numFmtId="165" fontId="4" fillId="0" borderId="0" xfId="0" applyNumberFormat="1" applyFont="1" applyAlignment="1"/>
    <xf numFmtId="165" fontId="5" fillId="0" borderId="0" xfId="0" applyNumberFormat="1" applyFont="1" applyAlignment="1"/>
    <xf numFmtId="165" fontId="4" fillId="0" borderId="0" xfId="0" applyNumberFormat="1" applyFont="1" applyAlignment="1">
      <alignment wrapText="1"/>
    </xf>
    <xf numFmtId="0" fontId="6" fillId="0" borderId="0" xfId="0" applyFont="1" applyAlignment="1">
      <alignment wrapText="1"/>
    </xf>
    <xf numFmtId="0" fontId="7" fillId="2" borderId="0" xfId="0" applyFont="1" applyFill="1" applyAlignment="1">
      <alignment horizontal="center" wrapText="1"/>
    </xf>
    <xf numFmtId="0" fontId="8" fillId="0" borderId="0" xfId="0" applyFont="1" applyAlignment="1">
      <alignment horizontal="center"/>
    </xf>
    <xf numFmtId="0" fontId="8" fillId="0" borderId="0" xfId="0" applyFont="1" applyAlignment="1"/>
    <xf numFmtId="0" fontId="8" fillId="0" borderId="0" xfId="0" applyFont="1" applyAlignment="1">
      <alignment wrapText="1"/>
    </xf>
    <xf numFmtId="0" fontId="9" fillId="0" borderId="0" xfId="0" applyFont="1" applyAlignment="1">
      <alignment wrapText="1"/>
    </xf>
    <xf numFmtId="0" fontId="0" fillId="0" borderId="0" xfId="0" pivotButton="1" applyFont="1" applyAlignment="1"/>
    <xf numFmtId="164" fontId="0" fillId="0" borderId="0" xfId="0" applyNumberFormat="1" applyFont="1" applyAlignment="1"/>
    <xf numFmtId="0" fontId="0" fillId="0" borderId="0" xfId="0" applyFont="1" applyAlignment="1">
      <alignment horizontal="center"/>
    </xf>
    <xf numFmtId="49" fontId="0" fillId="0" borderId="0" xfId="0" applyNumberFormat="1" applyFont="1" applyAlignment="1">
      <alignment horizontal="center"/>
    </xf>
    <xf numFmtId="164" fontId="0" fillId="0" borderId="0" xfId="0" applyNumberFormat="1" applyFont="1" applyAlignment="1">
      <alignment horizontal="center"/>
    </xf>
    <xf numFmtId="2" fontId="0" fillId="0" borderId="0" xfId="0" applyNumberFormat="1" applyFont="1" applyAlignment="1">
      <alignment horizontal="center"/>
    </xf>
    <xf numFmtId="14" fontId="0" fillId="0" borderId="0" xfId="0" applyNumberFormat="1" applyFont="1" applyAlignment="1">
      <alignment horizontal="center"/>
    </xf>
    <xf numFmtId="165" fontId="0" fillId="0" borderId="0" xfId="0" applyNumberFormat="1" applyFont="1" applyAlignment="1">
      <alignment horizontal="center"/>
    </xf>
    <xf numFmtId="0" fontId="10" fillId="0" borderId="0" xfId="0" applyFont="1" applyAlignment="1">
      <alignment wrapText="1"/>
    </xf>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left" indent="1"/>
    </xf>
    <xf numFmtId="0" fontId="11" fillId="0" borderId="0" xfId="0" applyFont="1" applyAlignment="1"/>
  </cellXfs>
  <cellStyles count="1">
    <cellStyle name="Normal" xfId="0" builtinId="0"/>
  </cellStyles>
  <dxfs count="81">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65" formatCode="[$-409]d\-mmm\-yyyy;@"/>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9" formatCode="m/d/yy"/>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164" formatCode="&quot;$&quot;#,##0.00"/>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5" formatCode="[$-409]d\-mmm\-yyyy;@"/>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5" formatCode="[$-409]d\-mmm\-yyyy;@"/>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2" formatCode="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164" formatCode="&quot;$&quot;#,##0.00"/>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numFmt numFmtId="30" formatCode="@"/>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2"/>
        <color theme="1"/>
        <name val="Arial"/>
        <scheme val="minor"/>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2025.xlsx]Pivot!PivotTable1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37CEF"/>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Pivot!$C$3</c:f>
              <c:strCache>
                <c:ptCount val="1"/>
                <c:pt idx="0">
                  <c:v>Total</c:v>
                </c:pt>
              </c:strCache>
            </c:strRef>
          </c:tx>
          <c:spPr>
            <a:solidFill>
              <a:srgbClr val="637CEF"/>
            </a:solidFill>
            <a:ln w="19050">
              <a:solidFill>
                <a:schemeClr val="lt1"/>
              </a:solidFill>
            </a:ln>
            <a:effectLst/>
          </c:spPr>
          <c:invertIfNegative val="0"/>
          <c:cat>
            <c:multiLvlStrRef>
              <c:f>Pivot!$A$4:$B$36</c:f>
              <c:multiLvlStrCache>
                <c:ptCount val="23"/>
                <c:lvl>
                  <c:pt idx="0">
                    <c:v>Q3</c:v>
                  </c:pt>
                  <c:pt idx="1">
                    <c:v>Q4</c:v>
                  </c:pt>
                  <c:pt idx="2">
                    <c:v>Q3</c:v>
                  </c:pt>
                  <c:pt idx="3">
                    <c:v>Q4</c:v>
                  </c:pt>
                  <c:pt idx="4">
                    <c:v>Q3</c:v>
                  </c:pt>
                  <c:pt idx="5">
                    <c:v>Q4</c:v>
                  </c:pt>
                  <c:pt idx="6">
                    <c:v>Q1</c:v>
                  </c:pt>
                  <c:pt idx="7">
                    <c:v>Q2</c:v>
                  </c:pt>
                  <c:pt idx="8">
                    <c:v>Q1</c:v>
                  </c:pt>
                  <c:pt idx="9">
                    <c:v>Q3</c:v>
                  </c:pt>
                  <c:pt idx="10">
                    <c:v>Q4</c:v>
                  </c:pt>
                  <c:pt idx="11">
                    <c:v>Q1</c:v>
                  </c:pt>
                  <c:pt idx="12">
                    <c:v>Q3</c:v>
                  </c:pt>
                  <c:pt idx="13">
                    <c:v>Q4</c:v>
                  </c:pt>
                  <c:pt idx="14">
                    <c:v>Q1</c:v>
                  </c:pt>
                  <c:pt idx="15">
                    <c:v>Q3</c:v>
                  </c:pt>
                  <c:pt idx="16">
                    <c:v>Q4</c:v>
                  </c:pt>
                  <c:pt idx="17">
                    <c:v>Q1</c:v>
                  </c:pt>
                  <c:pt idx="18">
                    <c:v>Q2</c:v>
                  </c:pt>
                  <c:pt idx="19">
                    <c:v>Q1</c:v>
                  </c:pt>
                  <c:pt idx="20">
                    <c:v>Q2</c:v>
                  </c:pt>
                  <c:pt idx="21">
                    <c:v>Q3</c:v>
                  </c:pt>
                  <c:pt idx="22">
                    <c:v>Q4</c:v>
                  </c:pt>
                </c:lvl>
                <c:lvl>
                  <c:pt idx="0">
                    <c:v>BMW</c:v>
                  </c:pt>
                  <c:pt idx="2">
                    <c:v>Chevrolet</c:v>
                  </c:pt>
                  <c:pt idx="4">
                    <c:v>Ford</c:v>
                  </c:pt>
                  <c:pt idx="6">
                    <c:v>Honda</c:v>
                  </c:pt>
                  <c:pt idx="8">
                    <c:v>Hyundai</c:v>
                  </c:pt>
                  <c:pt idx="11">
                    <c:v>Jeep</c:v>
                  </c:pt>
                  <c:pt idx="14">
                    <c:v>Nissan</c:v>
                  </c:pt>
                  <c:pt idx="17">
                    <c:v>Tesla</c:v>
                  </c:pt>
                  <c:pt idx="19">
                    <c:v>Toyota</c:v>
                  </c:pt>
                </c:lvl>
              </c:multiLvlStrCache>
            </c:multiLvlStrRef>
          </c:cat>
          <c:val>
            <c:numRef>
              <c:f>Pivot!$C$4:$C$36</c:f>
              <c:numCache>
                <c:formatCode>"$"#,##0.00</c:formatCode>
                <c:ptCount val="23"/>
                <c:pt idx="0">
                  <c:v>379600</c:v>
                </c:pt>
                <c:pt idx="1">
                  <c:v>279600</c:v>
                </c:pt>
                <c:pt idx="2">
                  <c:v>140800</c:v>
                </c:pt>
                <c:pt idx="3">
                  <c:v>80700</c:v>
                </c:pt>
                <c:pt idx="4">
                  <c:v>169400</c:v>
                </c:pt>
                <c:pt idx="5">
                  <c:v>119200</c:v>
                </c:pt>
                <c:pt idx="6">
                  <c:v>49000</c:v>
                </c:pt>
                <c:pt idx="7">
                  <c:v>89400</c:v>
                </c:pt>
                <c:pt idx="8">
                  <c:v>68700</c:v>
                </c:pt>
                <c:pt idx="9">
                  <c:v>18900</c:v>
                </c:pt>
                <c:pt idx="10">
                  <c:v>103500</c:v>
                </c:pt>
                <c:pt idx="11">
                  <c:v>363900</c:v>
                </c:pt>
                <c:pt idx="12">
                  <c:v>68700</c:v>
                </c:pt>
                <c:pt idx="13">
                  <c:v>195300</c:v>
                </c:pt>
                <c:pt idx="14">
                  <c:v>162200</c:v>
                </c:pt>
                <c:pt idx="15">
                  <c:v>256000</c:v>
                </c:pt>
                <c:pt idx="16">
                  <c:v>579500</c:v>
                </c:pt>
                <c:pt idx="17">
                  <c:v>179000</c:v>
                </c:pt>
                <c:pt idx="18">
                  <c:v>31306</c:v>
                </c:pt>
                <c:pt idx="19">
                  <c:v>145500</c:v>
                </c:pt>
                <c:pt idx="20">
                  <c:v>1285800</c:v>
                </c:pt>
                <c:pt idx="21">
                  <c:v>520700</c:v>
                </c:pt>
                <c:pt idx="22">
                  <c:v>523000</c:v>
                </c:pt>
              </c:numCache>
            </c:numRef>
          </c:val>
          <c:extLst>
            <c:ext xmlns:c16="http://schemas.microsoft.com/office/drawing/2014/chart" uri="{C3380CC4-5D6E-409C-BE32-E72D297353CC}">
              <c16:uniqueId val="{00000000-408F-4285-BCF1-14238CFB7406}"/>
            </c:ext>
          </c:extLst>
        </c:ser>
        <c:dLbls>
          <c:showLegendKey val="0"/>
          <c:showVal val="0"/>
          <c:showCatName val="0"/>
          <c:showSerName val="0"/>
          <c:showPercent val="0"/>
          <c:showBubbleSize val="0"/>
        </c:dLbls>
        <c:gapWidth val="150"/>
        <c:overlap val="100"/>
        <c:axId val="1834979848"/>
        <c:axId val="1834981896"/>
      </c:barChart>
      <c:valAx>
        <c:axId val="1834981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979848"/>
        <c:crosses val="autoZero"/>
        <c:crossBetween val="between"/>
      </c:valAx>
      <c:catAx>
        <c:axId val="18349798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98189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2025.xlsx]Pivot!PivotTable1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chemeClr val="accent1"/>
            </a:solidFill>
            <a:ln>
              <a:noFill/>
            </a:ln>
            <a:effectLst/>
          </c:spPr>
          <c:invertIfNegative val="0"/>
          <c:cat>
            <c:multiLvlStrRef>
              <c:f>Pivot!$A$4:$B$36</c:f>
              <c:multiLvlStrCache>
                <c:ptCount val="23"/>
                <c:lvl>
                  <c:pt idx="0">
                    <c:v>Q3</c:v>
                  </c:pt>
                  <c:pt idx="1">
                    <c:v>Q4</c:v>
                  </c:pt>
                  <c:pt idx="2">
                    <c:v>Q3</c:v>
                  </c:pt>
                  <c:pt idx="3">
                    <c:v>Q4</c:v>
                  </c:pt>
                  <c:pt idx="4">
                    <c:v>Q3</c:v>
                  </c:pt>
                  <c:pt idx="5">
                    <c:v>Q4</c:v>
                  </c:pt>
                  <c:pt idx="6">
                    <c:v>Q1</c:v>
                  </c:pt>
                  <c:pt idx="7">
                    <c:v>Q2</c:v>
                  </c:pt>
                  <c:pt idx="8">
                    <c:v>Q1</c:v>
                  </c:pt>
                  <c:pt idx="9">
                    <c:v>Q3</c:v>
                  </c:pt>
                  <c:pt idx="10">
                    <c:v>Q4</c:v>
                  </c:pt>
                  <c:pt idx="11">
                    <c:v>Q1</c:v>
                  </c:pt>
                  <c:pt idx="12">
                    <c:v>Q3</c:v>
                  </c:pt>
                  <c:pt idx="13">
                    <c:v>Q4</c:v>
                  </c:pt>
                  <c:pt idx="14">
                    <c:v>Q1</c:v>
                  </c:pt>
                  <c:pt idx="15">
                    <c:v>Q3</c:v>
                  </c:pt>
                  <c:pt idx="16">
                    <c:v>Q4</c:v>
                  </c:pt>
                  <c:pt idx="17">
                    <c:v>Q1</c:v>
                  </c:pt>
                  <c:pt idx="18">
                    <c:v>Q2</c:v>
                  </c:pt>
                  <c:pt idx="19">
                    <c:v>Q1</c:v>
                  </c:pt>
                  <c:pt idx="20">
                    <c:v>Q2</c:v>
                  </c:pt>
                  <c:pt idx="21">
                    <c:v>Q3</c:v>
                  </c:pt>
                  <c:pt idx="22">
                    <c:v>Q4</c:v>
                  </c:pt>
                </c:lvl>
                <c:lvl>
                  <c:pt idx="0">
                    <c:v>BMW</c:v>
                  </c:pt>
                  <c:pt idx="2">
                    <c:v>Chevrolet</c:v>
                  </c:pt>
                  <c:pt idx="4">
                    <c:v>Ford</c:v>
                  </c:pt>
                  <c:pt idx="6">
                    <c:v>Honda</c:v>
                  </c:pt>
                  <c:pt idx="8">
                    <c:v>Hyundai</c:v>
                  </c:pt>
                  <c:pt idx="11">
                    <c:v>Jeep</c:v>
                  </c:pt>
                  <c:pt idx="14">
                    <c:v>Nissan</c:v>
                  </c:pt>
                  <c:pt idx="17">
                    <c:v>Tesla</c:v>
                  </c:pt>
                  <c:pt idx="19">
                    <c:v>Toyota</c:v>
                  </c:pt>
                </c:lvl>
              </c:multiLvlStrCache>
            </c:multiLvlStrRef>
          </c:cat>
          <c:val>
            <c:numRef>
              <c:f>Pivot!$C$4:$C$36</c:f>
              <c:numCache>
                <c:formatCode>"$"#,##0.00</c:formatCode>
                <c:ptCount val="23"/>
                <c:pt idx="0">
                  <c:v>379600</c:v>
                </c:pt>
                <c:pt idx="1">
                  <c:v>279600</c:v>
                </c:pt>
                <c:pt idx="2">
                  <c:v>140800</c:v>
                </c:pt>
                <c:pt idx="3">
                  <c:v>80700</c:v>
                </c:pt>
                <c:pt idx="4">
                  <c:v>169400</c:v>
                </c:pt>
                <c:pt idx="5">
                  <c:v>119200</c:v>
                </c:pt>
                <c:pt idx="6">
                  <c:v>49000</c:v>
                </c:pt>
                <c:pt idx="7">
                  <c:v>89400</c:v>
                </c:pt>
                <c:pt idx="8">
                  <c:v>68700</c:v>
                </c:pt>
                <c:pt idx="9">
                  <c:v>18900</c:v>
                </c:pt>
                <c:pt idx="10">
                  <c:v>103500</c:v>
                </c:pt>
                <c:pt idx="11">
                  <c:v>363900</c:v>
                </c:pt>
                <c:pt idx="12">
                  <c:v>68700</c:v>
                </c:pt>
                <c:pt idx="13">
                  <c:v>195300</c:v>
                </c:pt>
                <c:pt idx="14">
                  <c:v>162200</c:v>
                </c:pt>
                <c:pt idx="15">
                  <c:v>256000</c:v>
                </c:pt>
                <c:pt idx="16">
                  <c:v>579500</c:v>
                </c:pt>
                <c:pt idx="17">
                  <c:v>179000</c:v>
                </c:pt>
                <c:pt idx="18">
                  <c:v>31306</c:v>
                </c:pt>
                <c:pt idx="19">
                  <c:v>145500</c:v>
                </c:pt>
                <c:pt idx="20">
                  <c:v>1285800</c:v>
                </c:pt>
                <c:pt idx="21">
                  <c:v>520700</c:v>
                </c:pt>
                <c:pt idx="22">
                  <c:v>523000</c:v>
                </c:pt>
              </c:numCache>
            </c:numRef>
          </c:val>
          <c:extLst>
            <c:ext xmlns:c16="http://schemas.microsoft.com/office/drawing/2014/chart" uri="{C3380CC4-5D6E-409C-BE32-E72D297353CC}">
              <c16:uniqueId val="{00000000-7E78-E944-850A-E4D153B95BA2}"/>
            </c:ext>
          </c:extLst>
        </c:ser>
        <c:dLbls>
          <c:showLegendKey val="0"/>
          <c:showVal val="0"/>
          <c:showCatName val="0"/>
          <c:showSerName val="0"/>
          <c:showPercent val="0"/>
          <c:showBubbleSize val="0"/>
        </c:dLbls>
        <c:gapWidth val="219"/>
        <c:overlap val="-27"/>
        <c:axId val="268948255"/>
        <c:axId val="1645630496"/>
      </c:barChart>
      <c:catAx>
        <c:axId val="268948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5630496"/>
        <c:crosses val="autoZero"/>
        <c:auto val="1"/>
        <c:lblAlgn val="ctr"/>
        <c:lblOffset val="100"/>
        <c:noMultiLvlLbl val="0"/>
      </c:catAx>
      <c:valAx>
        <c:axId val="1645630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948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2025.xlsx]Sales Per Region!PivotTable2</c:name>
    <c:fmtId val="2"/>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Percentage</a:t>
            </a:r>
            <a:r>
              <a:rPr lang="en-US" baseline="0"/>
              <a:t> of Sales Per Vehicle Type</a:t>
            </a:r>
            <a:endParaRPr lang="en-US"/>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9"/>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0"/>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1"/>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2"/>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3"/>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14"/>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6"/>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6">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6">
              <a:lumMod val="60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'Sales Per Region'!$B$3</c:f>
              <c:strCache>
                <c:ptCount val="1"/>
                <c:pt idx="0">
                  <c:v>Sum of Sale_Price</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523-1B4F-86DD-C86F097C4AAC}"/>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9523-1B4F-86DD-C86F097C4AAC}"/>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523-1B4F-86DD-C86F097C4AAC}"/>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9523-1B4F-86DD-C86F097C4AA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Region'!$A$4:$A$8</c:f>
              <c:strCache>
                <c:ptCount val="4"/>
                <c:pt idx="0">
                  <c:v>Midwest</c:v>
                </c:pt>
                <c:pt idx="1">
                  <c:v>Northeast</c:v>
                </c:pt>
                <c:pt idx="2">
                  <c:v>South</c:v>
                </c:pt>
                <c:pt idx="3">
                  <c:v>West</c:v>
                </c:pt>
              </c:strCache>
            </c:strRef>
          </c:cat>
          <c:val>
            <c:numRef>
              <c:f>'Sales Per Region'!$B$4:$B$8</c:f>
              <c:numCache>
                <c:formatCode>General</c:formatCode>
                <c:ptCount val="4"/>
                <c:pt idx="0">
                  <c:v>641100</c:v>
                </c:pt>
                <c:pt idx="1">
                  <c:v>1404800</c:v>
                </c:pt>
                <c:pt idx="2">
                  <c:v>1957400</c:v>
                </c:pt>
                <c:pt idx="3">
                  <c:v>1806406</c:v>
                </c:pt>
              </c:numCache>
            </c:numRef>
          </c:val>
          <c:extLst>
            <c:ext xmlns:c16="http://schemas.microsoft.com/office/drawing/2014/chart" uri="{C3380CC4-5D6E-409C-BE32-E72D297353CC}">
              <c16:uniqueId val="{00000000-9523-1B4F-86DD-C86F097C4AAC}"/>
            </c:ext>
          </c:extLst>
        </c:ser>
        <c:ser>
          <c:idx val="1"/>
          <c:order val="1"/>
          <c:tx>
            <c:strRef>
              <c:f>'Sales Per Region'!$C$3</c:f>
              <c:strCache>
                <c:ptCount val="1"/>
                <c:pt idx="0">
                  <c:v>Count of VIN</c:v>
                </c:pt>
              </c:strCache>
            </c:strRef>
          </c:tx>
          <c:dPt>
            <c:idx val="0"/>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9523-1B4F-86DD-C86F097C4AAC}"/>
              </c:ext>
            </c:extLst>
          </c:dPt>
          <c:dPt>
            <c:idx val="1"/>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9523-1B4F-86DD-C86F097C4AAC}"/>
              </c:ext>
            </c:extLst>
          </c:dPt>
          <c:dPt>
            <c:idx val="2"/>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9523-1B4F-86DD-C86F097C4AAC}"/>
              </c:ext>
            </c:extLst>
          </c:dPt>
          <c:dPt>
            <c:idx val="3"/>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9523-1B4F-86DD-C86F097C4AAC}"/>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Per Region'!$A$4:$A$8</c:f>
              <c:strCache>
                <c:ptCount val="4"/>
                <c:pt idx="0">
                  <c:v>Midwest</c:v>
                </c:pt>
                <c:pt idx="1">
                  <c:v>Northeast</c:v>
                </c:pt>
                <c:pt idx="2">
                  <c:v>South</c:v>
                </c:pt>
                <c:pt idx="3">
                  <c:v>West</c:v>
                </c:pt>
              </c:strCache>
            </c:strRef>
          </c:cat>
          <c:val>
            <c:numRef>
              <c:f>'Sales Per Region'!$C$4:$C$8</c:f>
              <c:numCache>
                <c:formatCode>General</c:formatCode>
                <c:ptCount val="4"/>
                <c:pt idx="0">
                  <c:v>22</c:v>
                </c:pt>
                <c:pt idx="1">
                  <c:v>34</c:v>
                </c:pt>
                <c:pt idx="2">
                  <c:v>44</c:v>
                </c:pt>
                <c:pt idx="3">
                  <c:v>50</c:v>
                </c:pt>
              </c:numCache>
            </c:numRef>
          </c:val>
          <c:extLst>
            <c:ext xmlns:c16="http://schemas.microsoft.com/office/drawing/2014/chart" uri="{C3380CC4-5D6E-409C-BE32-E72D297353CC}">
              <c16:uniqueId val="{00000001-9523-1B4F-86DD-C86F097C4AAC}"/>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2025.xlsx]Sales By Dealer!PivotTable3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Dealer'!$B$3:$B$4</c:f>
              <c:strCache>
                <c:ptCount val="1"/>
                <c:pt idx="0">
                  <c:v>BMW Elite</c:v>
                </c:pt>
              </c:strCache>
            </c:strRef>
          </c:tx>
          <c:spPr>
            <a:solidFill>
              <a:schemeClr val="accent1"/>
            </a:solidFill>
            <a:ln>
              <a:noFill/>
            </a:ln>
            <a:effectLst/>
          </c:spPr>
          <c:invertIfNegative val="0"/>
          <c:cat>
            <c:strRef>
              <c:f>'Sales By Dealer'!$A$5</c:f>
              <c:strCache>
                <c:ptCount val="1"/>
                <c:pt idx="0">
                  <c:v>Total</c:v>
                </c:pt>
              </c:strCache>
            </c:strRef>
          </c:cat>
          <c:val>
            <c:numRef>
              <c:f>'Sales By Dealer'!$B$5</c:f>
              <c:numCache>
                <c:formatCode>General</c:formatCode>
                <c:ptCount val="1"/>
                <c:pt idx="0">
                  <c:v>1013200</c:v>
                </c:pt>
              </c:numCache>
            </c:numRef>
          </c:val>
          <c:extLst>
            <c:ext xmlns:c16="http://schemas.microsoft.com/office/drawing/2014/chart" uri="{C3380CC4-5D6E-409C-BE32-E72D297353CC}">
              <c16:uniqueId val="{00000000-DCAD-0F4E-A9FD-744152FBFB5C}"/>
            </c:ext>
          </c:extLst>
        </c:ser>
        <c:ser>
          <c:idx val="1"/>
          <c:order val="1"/>
          <c:tx>
            <c:strRef>
              <c:f>'Sales By Dealer'!$C$3:$C$4</c:f>
              <c:strCache>
                <c:ptCount val="1"/>
                <c:pt idx="0">
                  <c:v>Chevy World</c:v>
                </c:pt>
              </c:strCache>
            </c:strRef>
          </c:tx>
          <c:spPr>
            <a:solidFill>
              <a:schemeClr val="accent2"/>
            </a:solidFill>
            <a:ln>
              <a:noFill/>
            </a:ln>
            <a:effectLst/>
          </c:spPr>
          <c:invertIfNegative val="0"/>
          <c:cat>
            <c:strRef>
              <c:f>'Sales By Dealer'!$A$5</c:f>
              <c:strCache>
                <c:ptCount val="1"/>
                <c:pt idx="0">
                  <c:v>Total</c:v>
                </c:pt>
              </c:strCache>
            </c:strRef>
          </c:cat>
          <c:val>
            <c:numRef>
              <c:f>'Sales By Dealer'!$C$5</c:f>
              <c:numCache>
                <c:formatCode>General</c:formatCode>
                <c:ptCount val="1"/>
                <c:pt idx="0">
                  <c:v>324500</c:v>
                </c:pt>
              </c:numCache>
            </c:numRef>
          </c:val>
          <c:extLst>
            <c:ext xmlns:c16="http://schemas.microsoft.com/office/drawing/2014/chart" uri="{C3380CC4-5D6E-409C-BE32-E72D297353CC}">
              <c16:uniqueId val="{00000001-DCAD-0F4E-A9FD-744152FBFB5C}"/>
            </c:ext>
          </c:extLst>
        </c:ser>
        <c:ser>
          <c:idx val="2"/>
          <c:order val="2"/>
          <c:tx>
            <c:strRef>
              <c:f>'Sales By Dealer'!$D$3:$D$4</c:f>
              <c:strCache>
                <c:ptCount val="1"/>
                <c:pt idx="0">
                  <c:v>Ford Country</c:v>
                </c:pt>
              </c:strCache>
            </c:strRef>
          </c:tx>
          <c:spPr>
            <a:solidFill>
              <a:schemeClr val="accent3"/>
            </a:solidFill>
            <a:ln>
              <a:noFill/>
            </a:ln>
            <a:effectLst/>
          </c:spPr>
          <c:invertIfNegative val="0"/>
          <c:cat>
            <c:strRef>
              <c:f>'Sales By Dealer'!$A$5</c:f>
              <c:strCache>
                <c:ptCount val="1"/>
                <c:pt idx="0">
                  <c:v>Total</c:v>
                </c:pt>
              </c:strCache>
            </c:strRef>
          </c:cat>
          <c:val>
            <c:numRef>
              <c:f>'Sales By Dealer'!$D$5</c:f>
              <c:numCache>
                <c:formatCode>General</c:formatCode>
                <c:ptCount val="1"/>
                <c:pt idx="0">
                  <c:v>316600</c:v>
                </c:pt>
              </c:numCache>
            </c:numRef>
          </c:val>
          <c:extLst>
            <c:ext xmlns:c16="http://schemas.microsoft.com/office/drawing/2014/chart" uri="{C3380CC4-5D6E-409C-BE32-E72D297353CC}">
              <c16:uniqueId val="{00000002-DCAD-0F4E-A9FD-744152FBFB5C}"/>
            </c:ext>
          </c:extLst>
        </c:ser>
        <c:ser>
          <c:idx val="3"/>
          <c:order val="3"/>
          <c:tx>
            <c:strRef>
              <c:f>'Sales By Dealer'!$E$3:$E$4</c:f>
              <c:strCache>
                <c:ptCount val="1"/>
                <c:pt idx="0">
                  <c:v>Hyundai Plus</c:v>
                </c:pt>
              </c:strCache>
            </c:strRef>
          </c:tx>
          <c:spPr>
            <a:solidFill>
              <a:schemeClr val="accent4"/>
            </a:solidFill>
            <a:ln>
              <a:noFill/>
            </a:ln>
            <a:effectLst/>
          </c:spPr>
          <c:invertIfNegative val="0"/>
          <c:cat>
            <c:strRef>
              <c:f>'Sales By Dealer'!$A$5</c:f>
              <c:strCache>
                <c:ptCount val="1"/>
                <c:pt idx="0">
                  <c:v>Total</c:v>
                </c:pt>
              </c:strCache>
            </c:strRef>
          </c:cat>
          <c:val>
            <c:numRef>
              <c:f>'Sales By Dealer'!$E$5</c:f>
              <c:numCache>
                <c:formatCode>General</c:formatCode>
                <c:ptCount val="1"/>
                <c:pt idx="0">
                  <c:v>406600</c:v>
                </c:pt>
              </c:numCache>
            </c:numRef>
          </c:val>
          <c:extLst>
            <c:ext xmlns:c16="http://schemas.microsoft.com/office/drawing/2014/chart" uri="{C3380CC4-5D6E-409C-BE32-E72D297353CC}">
              <c16:uniqueId val="{00000003-DCAD-0F4E-A9FD-744152FBFB5C}"/>
            </c:ext>
          </c:extLst>
        </c:ser>
        <c:ser>
          <c:idx val="4"/>
          <c:order val="4"/>
          <c:tx>
            <c:strRef>
              <c:f>'Sales By Dealer'!$F$3:$F$4</c:f>
              <c:strCache>
                <c:ptCount val="1"/>
                <c:pt idx="0">
                  <c:v>jeep nation</c:v>
                </c:pt>
              </c:strCache>
            </c:strRef>
          </c:tx>
          <c:spPr>
            <a:solidFill>
              <a:schemeClr val="accent5"/>
            </a:solidFill>
            <a:ln>
              <a:noFill/>
            </a:ln>
            <a:effectLst/>
          </c:spPr>
          <c:invertIfNegative val="0"/>
          <c:cat>
            <c:strRef>
              <c:f>'Sales By Dealer'!$A$5</c:f>
              <c:strCache>
                <c:ptCount val="1"/>
                <c:pt idx="0">
                  <c:v>Total</c:v>
                </c:pt>
              </c:strCache>
            </c:strRef>
          </c:cat>
          <c:val>
            <c:numRef>
              <c:f>'Sales By Dealer'!$F$5</c:f>
              <c:numCache>
                <c:formatCode>General</c:formatCode>
                <c:ptCount val="1"/>
                <c:pt idx="0">
                  <c:v>929900</c:v>
                </c:pt>
              </c:numCache>
            </c:numRef>
          </c:val>
          <c:extLst>
            <c:ext xmlns:c16="http://schemas.microsoft.com/office/drawing/2014/chart" uri="{C3380CC4-5D6E-409C-BE32-E72D297353CC}">
              <c16:uniqueId val="{00000004-DCAD-0F4E-A9FD-744152FBFB5C}"/>
            </c:ext>
          </c:extLst>
        </c:ser>
        <c:ser>
          <c:idx val="5"/>
          <c:order val="5"/>
          <c:tx>
            <c:strRef>
              <c:f>'Sales By Dealer'!$G$3:$G$4</c:f>
              <c:strCache>
                <c:ptCount val="1"/>
                <c:pt idx="0">
                  <c:v>metro honda</c:v>
                </c:pt>
              </c:strCache>
            </c:strRef>
          </c:tx>
          <c:spPr>
            <a:solidFill>
              <a:schemeClr val="accent6"/>
            </a:solidFill>
            <a:ln>
              <a:noFill/>
            </a:ln>
            <a:effectLst/>
          </c:spPr>
          <c:invertIfNegative val="0"/>
          <c:cat>
            <c:strRef>
              <c:f>'Sales By Dealer'!$A$5</c:f>
              <c:strCache>
                <c:ptCount val="1"/>
                <c:pt idx="0">
                  <c:v>Total</c:v>
                </c:pt>
              </c:strCache>
            </c:strRef>
          </c:cat>
          <c:val>
            <c:numRef>
              <c:f>'Sales By Dealer'!$G$5</c:f>
              <c:numCache>
                <c:formatCode>General</c:formatCode>
                <c:ptCount val="1"/>
                <c:pt idx="0">
                  <c:v>284400</c:v>
                </c:pt>
              </c:numCache>
            </c:numRef>
          </c:val>
          <c:extLst>
            <c:ext xmlns:c16="http://schemas.microsoft.com/office/drawing/2014/chart" uri="{C3380CC4-5D6E-409C-BE32-E72D297353CC}">
              <c16:uniqueId val="{00000005-DCAD-0F4E-A9FD-744152FBFB5C}"/>
            </c:ext>
          </c:extLst>
        </c:ser>
        <c:ser>
          <c:idx val="6"/>
          <c:order val="6"/>
          <c:tx>
            <c:strRef>
              <c:f>'Sales By Dealer'!$H$3:$H$4</c:f>
              <c:strCache>
                <c:ptCount val="1"/>
                <c:pt idx="0">
                  <c:v>Nissan Direct</c:v>
                </c:pt>
              </c:strCache>
            </c:strRef>
          </c:tx>
          <c:spPr>
            <a:solidFill>
              <a:schemeClr val="accent1">
                <a:lumMod val="60000"/>
              </a:schemeClr>
            </a:solidFill>
            <a:ln>
              <a:noFill/>
            </a:ln>
            <a:effectLst/>
          </c:spPr>
          <c:invertIfNegative val="0"/>
          <c:cat>
            <c:strRef>
              <c:f>'Sales By Dealer'!$A$5</c:f>
              <c:strCache>
                <c:ptCount val="1"/>
                <c:pt idx="0">
                  <c:v>Total</c:v>
                </c:pt>
              </c:strCache>
            </c:strRef>
          </c:cat>
          <c:val>
            <c:numRef>
              <c:f>'Sales By Dealer'!$H$5</c:f>
              <c:numCache>
                <c:formatCode>General</c:formatCode>
                <c:ptCount val="1"/>
                <c:pt idx="0">
                  <c:v>1027500</c:v>
                </c:pt>
              </c:numCache>
            </c:numRef>
          </c:val>
          <c:extLst>
            <c:ext xmlns:c16="http://schemas.microsoft.com/office/drawing/2014/chart" uri="{C3380CC4-5D6E-409C-BE32-E72D297353CC}">
              <c16:uniqueId val="{00000006-DCAD-0F4E-A9FD-744152FBFB5C}"/>
            </c:ext>
          </c:extLst>
        </c:ser>
        <c:ser>
          <c:idx val="7"/>
          <c:order val="7"/>
          <c:tx>
            <c:strRef>
              <c:f>'Sales By Dealer'!$I$3:$I$4</c:f>
              <c:strCache>
                <c:ptCount val="1"/>
                <c:pt idx="0">
                  <c:v>Tesla Direct</c:v>
                </c:pt>
              </c:strCache>
            </c:strRef>
          </c:tx>
          <c:spPr>
            <a:solidFill>
              <a:schemeClr val="accent2">
                <a:lumMod val="60000"/>
              </a:schemeClr>
            </a:solidFill>
            <a:ln>
              <a:noFill/>
            </a:ln>
            <a:effectLst/>
          </c:spPr>
          <c:invertIfNegative val="0"/>
          <c:cat>
            <c:strRef>
              <c:f>'Sales By Dealer'!$A$5</c:f>
              <c:strCache>
                <c:ptCount val="1"/>
                <c:pt idx="0">
                  <c:v>Total</c:v>
                </c:pt>
              </c:strCache>
            </c:strRef>
          </c:cat>
          <c:val>
            <c:numRef>
              <c:f>'Sales By Dealer'!$I$5</c:f>
              <c:numCache>
                <c:formatCode>General</c:formatCode>
                <c:ptCount val="1"/>
                <c:pt idx="0">
                  <c:v>452306</c:v>
                </c:pt>
              </c:numCache>
            </c:numRef>
          </c:val>
          <c:extLst>
            <c:ext xmlns:c16="http://schemas.microsoft.com/office/drawing/2014/chart" uri="{C3380CC4-5D6E-409C-BE32-E72D297353CC}">
              <c16:uniqueId val="{00000007-DCAD-0F4E-A9FD-744152FBFB5C}"/>
            </c:ext>
          </c:extLst>
        </c:ser>
        <c:ser>
          <c:idx val="8"/>
          <c:order val="8"/>
          <c:tx>
            <c:strRef>
              <c:f>'Sales By Dealer'!$J$3:$J$4</c:f>
              <c:strCache>
                <c:ptCount val="1"/>
                <c:pt idx="0">
                  <c:v>Toyota Center</c:v>
                </c:pt>
              </c:strCache>
            </c:strRef>
          </c:tx>
          <c:spPr>
            <a:solidFill>
              <a:schemeClr val="accent3">
                <a:lumMod val="60000"/>
              </a:schemeClr>
            </a:solidFill>
            <a:ln>
              <a:noFill/>
            </a:ln>
            <a:effectLst/>
          </c:spPr>
          <c:invertIfNegative val="0"/>
          <c:cat>
            <c:strRef>
              <c:f>'Sales By Dealer'!$A$5</c:f>
              <c:strCache>
                <c:ptCount val="1"/>
                <c:pt idx="0">
                  <c:v>Total</c:v>
                </c:pt>
              </c:strCache>
            </c:strRef>
          </c:cat>
          <c:val>
            <c:numRef>
              <c:f>'Sales By Dealer'!$J$5</c:f>
              <c:numCache>
                <c:formatCode>General</c:formatCode>
                <c:ptCount val="1"/>
                <c:pt idx="0">
                  <c:v>947500</c:v>
                </c:pt>
              </c:numCache>
            </c:numRef>
          </c:val>
          <c:extLst>
            <c:ext xmlns:c16="http://schemas.microsoft.com/office/drawing/2014/chart" uri="{C3380CC4-5D6E-409C-BE32-E72D297353CC}">
              <c16:uniqueId val="{00000008-DCAD-0F4E-A9FD-744152FBFB5C}"/>
            </c:ext>
          </c:extLst>
        </c:ser>
        <c:ser>
          <c:idx val="9"/>
          <c:order val="9"/>
          <c:tx>
            <c:strRef>
              <c:f>'Sales By Dealer'!$K$3:$K$4</c:f>
              <c:strCache>
                <c:ptCount val="1"/>
                <c:pt idx="0">
                  <c:v>UNKNOWN</c:v>
                </c:pt>
              </c:strCache>
            </c:strRef>
          </c:tx>
          <c:spPr>
            <a:solidFill>
              <a:schemeClr val="accent4">
                <a:lumMod val="60000"/>
              </a:schemeClr>
            </a:solidFill>
            <a:ln>
              <a:noFill/>
            </a:ln>
            <a:effectLst/>
          </c:spPr>
          <c:invertIfNegative val="0"/>
          <c:cat>
            <c:strRef>
              <c:f>'Sales By Dealer'!$A$5</c:f>
              <c:strCache>
                <c:ptCount val="1"/>
                <c:pt idx="0">
                  <c:v>Total</c:v>
                </c:pt>
              </c:strCache>
            </c:strRef>
          </c:cat>
          <c:val>
            <c:numRef>
              <c:f>'Sales By Dealer'!$K$5</c:f>
              <c:numCache>
                <c:formatCode>General</c:formatCode>
                <c:ptCount val="1"/>
                <c:pt idx="0">
                  <c:v>107200</c:v>
                </c:pt>
              </c:numCache>
            </c:numRef>
          </c:val>
          <c:extLst>
            <c:ext xmlns:c16="http://schemas.microsoft.com/office/drawing/2014/chart" uri="{C3380CC4-5D6E-409C-BE32-E72D297353CC}">
              <c16:uniqueId val="{00000009-DCAD-0F4E-A9FD-744152FBFB5C}"/>
            </c:ext>
          </c:extLst>
        </c:ser>
        <c:dLbls>
          <c:showLegendKey val="0"/>
          <c:showVal val="0"/>
          <c:showCatName val="0"/>
          <c:showSerName val="0"/>
          <c:showPercent val="0"/>
          <c:showBubbleSize val="0"/>
        </c:dLbls>
        <c:gapWidth val="219"/>
        <c:overlap val="-27"/>
        <c:axId val="176696239"/>
        <c:axId val="176433247"/>
      </c:barChart>
      <c:catAx>
        <c:axId val="176696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3247"/>
        <c:crosses val="autoZero"/>
        <c:auto val="1"/>
        <c:lblAlgn val="ctr"/>
        <c:lblOffset val="100"/>
        <c:noMultiLvlLbl val="0"/>
      </c:catAx>
      <c:valAx>
        <c:axId val="176433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96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2025.xlsx]Sales by Quarter !PivotTable4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Quarter '!$B$3</c:f>
              <c:strCache>
                <c:ptCount val="1"/>
                <c:pt idx="0">
                  <c:v>Total</c:v>
                </c:pt>
              </c:strCache>
            </c:strRef>
          </c:tx>
          <c:spPr>
            <a:solidFill>
              <a:schemeClr val="accent1"/>
            </a:solidFill>
            <a:ln>
              <a:noFill/>
            </a:ln>
            <a:effectLst/>
          </c:spPr>
          <c:invertIfNegative val="0"/>
          <c:cat>
            <c:strRef>
              <c:f>'Sales by Quarter '!$A$4:$A$8</c:f>
              <c:strCache>
                <c:ptCount val="4"/>
                <c:pt idx="0">
                  <c:v>Q1</c:v>
                </c:pt>
                <c:pt idx="1">
                  <c:v>Q2</c:v>
                </c:pt>
                <c:pt idx="2">
                  <c:v>Q3</c:v>
                </c:pt>
                <c:pt idx="3">
                  <c:v>Q4</c:v>
                </c:pt>
              </c:strCache>
            </c:strRef>
          </c:cat>
          <c:val>
            <c:numRef>
              <c:f>'Sales by Quarter '!$B$4:$B$8</c:f>
              <c:numCache>
                <c:formatCode>General</c:formatCode>
                <c:ptCount val="4"/>
                <c:pt idx="0">
                  <c:v>968300</c:v>
                </c:pt>
                <c:pt idx="1">
                  <c:v>1406506</c:v>
                </c:pt>
                <c:pt idx="2">
                  <c:v>1554100</c:v>
                </c:pt>
                <c:pt idx="3">
                  <c:v>1880800</c:v>
                </c:pt>
              </c:numCache>
            </c:numRef>
          </c:val>
          <c:extLst>
            <c:ext xmlns:c16="http://schemas.microsoft.com/office/drawing/2014/chart" uri="{C3380CC4-5D6E-409C-BE32-E72D297353CC}">
              <c16:uniqueId val="{00000000-7DD8-2743-9D21-E85A05B8A038}"/>
            </c:ext>
          </c:extLst>
        </c:ser>
        <c:dLbls>
          <c:showLegendKey val="0"/>
          <c:showVal val="0"/>
          <c:showCatName val="0"/>
          <c:showSerName val="0"/>
          <c:showPercent val="0"/>
          <c:showBubbleSize val="0"/>
        </c:dLbls>
        <c:gapWidth val="219"/>
        <c:overlap val="-27"/>
        <c:axId val="117208495"/>
        <c:axId val="116732255"/>
      </c:barChart>
      <c:catAx>
        <c:axId val="117208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732255"/>
        <c:crosses val="autoZero"/>
        <c:auto val="1"/>
        <c:lblAlgn val="ctr"/>
        <c:lblOffset val="100"/>
        <c:noMultiLvlLbl val="0"/>
      </c:catAx>
      <c:valAx>
        <c:axId val="116732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8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2025.xlsx]Sales by Quarter !PivotTable4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Totals</a:t>
            </a:r>
            <a:r>
              <a:rPr lang="en-US" baseline="0"/>
              <a:t> Sales Per Quater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Quarter '!$B$3</c:f>
              <c:strCache>
                <c:ptCount val="1"/>
                <c:pt idx="0">
                  <c:v>Total</c:v>
                </c:pt>
              </c:strCache>
            </c:strRef>
          </c:tx>
          <c:spPr>
            <a:solidFill>
              <a:schemeClr val="accent6"/>
            </a:solidFill>
            <a:ln>
              <a:noFill/>
            </a:ln>
            <a:effectLst/>
          </c:spPr>
          <c:invertIfNegative val="0"/>
          <c:cat>
            <c:strRef>
              <c:f>'Sales by Quarter '!$A$4:$A$8</c:f>
              <c:strCache>
                <c:ptCount val="4"/>
                <c:pt idx="0">
                  <c:v>Q1</c:v>
                </c:pt>
                <c:pt idx="1">
                  <c:v>Q2</c:v>
                </c:pt>
                <c:pt idx="2">
                  <c:v>Q3</c:v>
                </c:pt>
                <c:pt idx="3">
                  <c:v>Q4</c:v>
                </c:pt>
              </c:strCache>
            </c:strRef>
          </c:cat>
          <c:val>
            <c:numRef>
              <c:f>'Sales by Quarter '!$B$4:$B$8</c:f>
              <c:numCache>
                <c:formatCode>General</c:formatCode>
                <c:ptCount val="4"/>
                <c:pt idx="0">
                  <c:v>968300</c:v>
                </c:pt>
                <c:pt idx="1">
                  <c:v>1406506</c:v>
                </c:pt>
                <c:pt idx="2">
                  <c:v>1554100</c:v>
                </c:pt>
                <c:pt idx="3">
                  <c:v>1880800</c:v>
                </c:pt>
              </c:numCache>
            </c:numRef>
          </c:val>
          <c:extLst>
            <c:ext xmlns:c16="http://schemas.microsoft.com/office/drawing/2014/chart" uri="{C3380CC4-5D6E-409C-BE32-E72D297353CC}">
              <c16:uniqueId val="{00000000-8C89-E042-8698-35B2984E0D9D}"/>
            </c:ext>
          </c:extLst>
        </c:ser>
        <c:dLbls>
          <c:showLegendKey val="0"/>
          <c:showVal val="0"/>
          <c:showCatName val="0"/>
          <c:showSerName val="0"/>
          <c:showPercent val="0"/>
          <c:showBubbleSize val="0"/>
        </c:dLbls>
        <c:gapWidth val="219"/>
        <c:overlap val="-27"/>
        <c:axId val="36264607"/>
        <c:axId val="53592191"/>
      </c:barChart>
      <c:catAx>
        <c:axId val="36264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92191"/>
        <c:crosses val="autoZero"/>
        <c:auto val="1"/>
        <c:lblAlgn val="ctr"/>
        <c:lblOffset val="100"/>
        <c:noMultiLvlLbl val="0"/>
      </c:catAx>
      <c:valAx>
        <c:axId val="53592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64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2025.xlsx]Sales Per Month!PivotTable7</c:name>
    <c:fmtId val="0"/>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Sales Per Month</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0"/>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1"/>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2"/>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3"/>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4"/>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5"/>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6"/>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7"/>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8"/>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9"/>
        <c:spPr>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 Month'!$B$3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'Sales Per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Per Month'!$B$4:$B$16</c:f>
              <c:numCache>
                <c:formatCode>General</c:formatCode>
                <c:ptCount val="12"/>
                <c:pt idx="0">
                  <c:v>73500</c:v>
                </c:pt>
                <c:pt idx="1">
                  <c:v>319600</c:v>
                </c:pt>
                <c:pt idx="2">
                  <c:v>575200</c:v>
                </c:pt>
                <c:pt idx="3">
                  <c:v>420900</c:v>
                </c:pt>
                <c:pt idx="4">
                  <c:v>396706</c:v>
                </c:pt>
                <c:pt idx="5">
                  <c:v>588900</c:v>
                </c:pt>
                <c:pt idx="6">
                  <c:v>877700</c:v>
                </c:pt>
                <c:pt idx="7">
                  <c:v>276700</c:v>
                </c:pt>
                <c:pt idx="8">
                  <c:v>399700</c:v>
                </c:pt>
                <c:pt idx="9">
                  <c:v>480000</c:v>
                </c:pt>
                <c:pt idx="10">
                  <c:v>423200</c:v>
                </c:pt>
                <c:pt idx="11">
                  <c:v>977600</c:v>
                </c:pt>
              </c:numCache>
            </c:numRef>
          </c:val>
          <c:smooth val="0"/>
          <c:extLst>
            <c:ext xmlns:c16="http://schemas.microsoft.com/office/drawing/2014/chart" uri="{C3380CC4-5D6E-409C-BE32-E72D297353CC}">
              <c16:uniqueId val="{00000000-D2D4-A442-8A0C-06E93163C4CA}"/>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3122528"/>
        <c:axId val="2093691504"/>
      </c:lineChart>
      <c:catAx>
        <c:axId val="209312252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3691504"/>
        <c:crosses val="autoZero"/>
        <c:auto val="1"/>
        <c:lblAlgn val="ctr"/>
        <c:lblOffset val="100"/>
        <c:noMultiLvlLbl val="0"/>
      </c:catAx>
      <c:valAx>
        <c:axId val="2093691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093122528"/>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[Workshop 4_Karyn M_Car Sales Data 2025.xlsx]AVG Sale Price by Make +Model!PivotTable8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a:t>
            </a:r>
            <a:r>
              <a:rPr lang="en-US" baseline="0"/>
              <a:t> Price by Make and Model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'AVG Sale Price by Make +Model'!$B$3</c:f>
              <c:strCache>
                <c:ptCount val="1"/>
                <c:pt idx="0">
                  <c:v>Total</c:v>
                </c:pt>
              </c:strCache>
            </c:strRef>
          </c:tx>
          <c:spPr>
            <a:solidFill>
              <a:schemeClr val="accent6"/>
            </a:solidFill>
            <a:ln>
              <a:noFill/>
            </a:ln>
            <a:effectLst/>
          </c:spPr>
          <c:invertIfNegative val="0"/>
          <c:cat>
            <c:multiLvlStrRef>
              <c:f>'AVG Sale Price by Make +Model'!$A$4:$A$47</c:f>
              <c:multiLvlStrCache>
                <c:ptCount val="34"/>
                <c:lvl>
                  <c:pt idx="0">
                    <c:v>7 Series</c:v>
                  </c:pt>
                  <c:pt idx="1">
                    <c:v>8 Series</c:v>
                  </c:pt>
                  <c:pt idx="2">
                    <c:v>M3</c:v>
                  </c:pt>
                  <c:pt idx="3">
                    <c:v>Blazer</c:v>
                  </c:pt>
                  <c:pt idx="4">
                    <c:v>Bolt</c:v>
                  </c:pt>
                  <c:pt idx="5">
                    <c:v>Bronco</c:v>
                  </c:pt>
                  <c:pt idx="6">
                    <c:v>Bronco Sport</c:v>
                  </c:pt>
                  <c:pt idx="7">
                    <c:v>EcoSport</c:v>
                  </c:pt>
                  <c:pt idx="8">
                    <c:v>Accord</c:v>
                  </c:pt>
                  <c:pt idx="9">
                    <c:v>Civic</c:v>
                  </c:pt>
                  <c:pt idx="10">
                    <c:v>Accent</c:v>
                  </c:pt>
                  <c:pt idx="11">
                    <c:v>Elantra</c:v>
                  </c:pt>
                  <c:pt idx="12">
                    <c:v>Elantra N</c:v>
                  </c:pt>
                  <c:pt idx="13">
                    <c:v>Avenger</c:v>
                  </c:pt>
                  <c:pt idx="14">
                    <c:v>Commander</c:v>
                  </c:pt>
                  <c:pt idx="15">
                    <c:v>Grand Cherokee</c:v>
                  </c:pt>
                  <c:pt idx="16">
                    <c:v>Altima</c:v>
                  </c:pt>
                  <c:pt idx="17">
                    <c:v>Armada</c:v>
                  </c:pt>
                  <c:pt idx="18">
                    <c:v>GT-R</c:v>
                  </c:pt>
                  <c:pt idx="19">
                    <c:v>Model S</c:v>
                  </c:pt>
                  <c:pt idx="20">
                    <c:v>Model Y</c:v>
                  </c:pt>
                  <c:pt idx="21">
                    <c:v>Avalon</c:v>
                  </c:pt>
                  <c:pt idx="22">
                    <c:v>C-HR</c:v>
                  </c:pt>
                  <c:pt idx="23">
                    <c:v>Camry</c:v>
                  </c:pt>
                  <c:pt idx="24">
                    <c:v>Corolla</c:v>
                  </c:pt>
                  <c:pt idx="25">
                    <c:v>FJ Cruiser</c:v>
                  </c:pt>
                  <c:pt idx="26">
                    <c:v>Highlander</c:v>
                  </c:pt>
                  <c:pt idx="27">
                    <c:v>Mirai</c:v>
                  </c:pt>
                  <c:pt idx="28">
                    <c:v>Prius</c:v>
                  </c:pt>
                  <c:pt idx="29">
                    <c:v>RAV4</c:v>
                  </c:pt>
                  <c:pt idx="30">
                    <c:v>Sequoia</c:v>
                  </c:pt>
                  <c:pt idx="31">
                    <c:v>Tacoma</c:v>
                  </c:pt>
                  <c:pt idx="32">
                    <c:v>Venza</c:v>
                  </c:pt>
                  <c:pt idx="33">
                    <c:v>Yaris</c:v>
                  </c:pt>
                </c:lvl>
                <c:lvl>
                  <c:pt idx="0">
                    <c:v>BMW</c:v>
                  </c:pt>
                  <c:pt idx="3">
                    <c:v>Chevrolet</c:v>
                  </c:pt>
                  <c:pt idx="5">
                    <c:v>Ford</c:v>
                  </c:pt>
                  <c:pt idx="8">
                    <c:v>Honda</c:v>
                  </c:pt>
                  <c:pt idx="10">
                    <c:v>Hyundai</c:v>
                  </c:pt>
                  <c:pt idx="13">
                    <c:v>Jeep</c:v>
                  </c:pt>
                  <c:pt idx="16">
                    <c:v>Nissan</c:v>
                  </c:pt>
                  <c:pt idx="19">
                    <c:v>Tesla</c:v>
                  </c:pt>
                  <c:pt idx="21">
                    <c:v>Toyota</c:v>
                  </c:pt>
                </c:lvl>
              </c:multiLvlStrCache>
            </c:multiLvlStrRef>
          </c:cat>
          <c:val>
            <c:numRef>
              <c:f>'AVG Sale Price by Make +Model'!$B$4:$B$47</c:f>
              <c:numCache>
                <c:formatCode>General</c:formatCode>
                <c:ptCount val="34"/>
                <c:pt idx="0">
                  <c:v>89900</c:v>
                </c:pt>
                <c:pt idx="1">
                  <c:v>99900</c:v>
                </c:pt>
                <c:pt idx="2">
                  <c:v>69900</c:v>
                </c:pt>
                <c:pt idx="3">
                  <c:v>35200</c:v>
                </c:pt>
                <c:pt idx="4">
                  <c:v>26900</c:v>
                </c:pt>
                <c:pt idx="5">
                  <c:v>38900</c:v>
                </c:pt>
                <c:pt idx="6">
                  <c:v>29800</c:v>
                </c:pt>
                <c:pt idx="7">
                  <c:v>22900</c:v>
                </c:pt>
                <c:pt idx="8">
                  <c:v>29800</c:v>
                </c:pt>
                <c:pt idx="9">
                  <c:v>24500</c:v>
                </c:pt>
                <c:pt idx="10">
                  <c:v>18900</c:v>
                </c:pt>
                <c:pt idx="11">
                  <c:v>22900</c:v>
                </c:pt>
                <c:pt idx="12">
                  <c:v>34500</c:v>
                </c:pt>
                <c:pt idx="13">
                  <c:v>27900</c:v>
                </c:pt>
                <c:pt idx="14">
                  <c:v>22900</c:v>
                </c:pt>
                <c:pt idx="15">
                  <c:v>40433.333333333336</c:v>
                </c:pt>
                <c:pt idx="16">
                  <c:v>27033.333333333332</c:v>
                </c:pt>
                <c:pt idx="17">
                  <c:v>51200</c:v>
                </c:pt>
                <c:pt idx="18">
                  <c:v>115900</c:v>
                </c:pt>
                <c:pt idx="19">
                  <c:v>89500</c:v>
                </c:pt>
                <c:pt idx="20">
                  <c:v>10435.333333333334</c:v>
                </c:pt>
                <c:pt idx="21">
                  <c:v>39500</c:v>
                </c:pt>
                <c:pt idx="22">
                  <c:v>26500</c:v>
                </c:pt>
                <c:pt idx="23">
                  <c:v>28000</c:v>
                </c:pt>
                <c:pt idx="24">
                  <c:v>22500</c:v>
                </c:pt>
                <c:pt idx="25">
                  <c:v>31500</c:v>
                </c:pt>
                <c:pt idx="26">
                  <c:v>43360</c:v>
                </c:pt>
                <c:pt idx="27">
                  <c:v>58500</c:v>
                </c:pt>
                <c:pt idx="28">
                  <c:v>27340.909090909092</c:v>
                </c:pt>
                <c:pt idx="29">
                  <c:v>32876.923076923078</c:v>
                </c:pt>
                <c:pt idx="30">
                  <c:v>56900</c:v>
                </c:pt>
                <c:pt idx="31">
                  <c:v>33500</c:v>
                </c:pt>
                <c:pt idx="32">
                  <c:v>35800</c:v>
                </c:pt>
                <c:pt idx="33">
                  <c:v>18500</c:v>
                </c:pt>
              </c:numCache>
            </c:numRef>
          </c:val>
          <c:extLst>
            <c:ext xmlns:c16="http://schemas.microsoft.com/office/drawing/2014/chart" uri="{C3380CC4-5D6E-409C-BE32-E72D297353CC}">
              <c16:uniqueId val="{00000000-7564-734C-9052-4A2A6C3B9512}"/>
            </c:ext>
          </c:extLst>
        </c:ser>
        <c:dLbls>
          <c:showLegendKey val="0"/>
          <c:showVal val="0"/>
          <c:showCatName val="0"/>
          <c:showSerName val="0"/>
          <c:showPercent val="0"/>
          <c:showBubbleSize val="0"/>
        </c:dLbls>
        <c:gapWidth val="150"/>
        <c:overlap val="100"/>
        <c:axId val="21124783"/>
        <c:axId val="21126431"/>
      </c:barChart>
      <c:catAx>
        <c:axId val="21124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6431"/>
        <c:crosses val="autoZero"/>
        <c:auto val="1"/>
        <c:lblAlgn val="ctr"/>
        <c:lblOffset val="100"/>
        <c:noMultiLvlLbl val="0"/>
      </c:catAx>
      <c:valAx>
        <c:axId val="211264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4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695325</xdr:colOff>
      <xdr:row>2</xdr:row>
      <xdr:rowOff>123825</xdr:rowOff>
    </xdr:from>
    <xdr:to>
      <xdr:col>9</xdr:col>
      <xdr:colOff>57150</xdr:colOff>
      <xdr:row>19</xdr:row>
      <xdr:rowOff>114300</xdr:rowOff>
    </xdr:to>
    <xdr:graphicFrame macro="">
      <xdr:nvGraphicFramePr>
        <xdr:cNvPr id="2" name="Chart 1">
          <a:extLst>
            <a:ext uri="{FF2B5EF4-FFF2-40B4-BE49-F238E27FC236}">
              <a16:creationId xmlns:a16="http://schemas.microsoft.com/office/drawing/2014/main" id="{8C7CF7F9-C625-4A04-32E7-9697F9C5D2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1257300</xdr:colOff>
      <xdr:row>9</xdr:row>
      <xdr:rowOff>76200</xdr:rowOff>
    </xdr:from>
    <xdr:to>
      <xdr:col>13</xdr:col>
      <xdr:colOff>266700</xdr:colOff>
      <xdr:row>48</xdr:row>
      <xdr:rowOff>12700</xdr:rowOff>
    </xdr:to>
    <xdr:graphicFrame macro="">
      <xdr:nvGraphicFramePr>
        <xdr:cNvPr id="6" name="Chart 5">
          <a:extLst>
            <a:ext uri="{FF2B5EF4-FFF2-40B4-BE49-F238E27FC236}">
              <a16:creationId xmlns:a16="http://schemas.microsoft.com/office/drawing/2014/main" id="{B3949665-45C9-254E-9219-B18DEE8E6C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406400</xdr:colOff>
      <xdr:row>13</xdr:row>
      <xdr:rowOff>38100</xdr:rowOff>
    </xdr:from>
    <xdr:to>
      <xdr:col>14</xdr:col>
      <xdr:colOff>139700</xdr:colOff>
      <xdr:row>51</xdr:row>
      <xdr:rowOff>38100</xdr:rowOff>
    </xdr:to>
    <xdr:graphicFrame macro="">
      <xdr:nvGraphicFramePr>
        <xdr:cNvPr id="4" name="Chart 3">
          <a:extLst>
            <a:ext uri="{FF2B5EF4-FFF2-40B4-BE49-F238E27FC236}">
              <a16:creationId xmlns:a16="http://schemas.microsoft.com/office/drawing/2014/main" id="{240AD2F0-5265-1345-9F66-613C7E8E3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228600</xdr:colOff>
      <xdr:row>19</xdr:row>
      <xdr:rowOff>6350</xdr:rowOff>
    </xdr:from>
    <xdr:to>
      <xdr:col>11</xdr:col>
      <xdr:colOff>660400</xdr:colOff>
      <xdr:row>47</xdr:row>
      <xdr:rowOff>0</xdr:rowOff>
    </xdr:to>
    <xdr:graphicFrame macro="">
      <xdr:nvGraphicFramePr>
        <xdr:cNvPr id="3" name="Chart 2">
          <a:extLst>
            <a:ext uri="{FF2B5EF4-FFF2-40B4-BE49-F238E27FC236}">
              <a16:creationId xmlns:a16="http://schemas.microsoft.com/office/drawing/2014/main" id="{BDDB0E54-5F6D-C440-A4BC-2A2CF3D59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254000</xdr:colOff>
      <xdr:row>13</xdr:row>
      <xdr:rowOff>50800</xdr:rowOff>
    </xdr:from>
    <xdr:to>
      <xdr:col>14</xdr:col>
      <xdr:colOff>266700</xdr:colOff>
      <xdr:row>46</xdr:row>
      <xdr:rowOff>139700</xdr:rowOff>
    </xdr:to>
    <xdr:graphicFrame macro="">
      <xdr:nvGraphicFramePr>
        <xdr:cNvPr id="5" name="Chart 4">
          <a:extLst>
            <a:ext uri="{FF2B5EF4-FFF2-40B4-BE49-F238E27FC236}">
              <a16:creationId xmlns:a16="http://schemas.microsoft.com/office/drawing/2014/main" id="{61CE122D-963F-E64F-BC88-684614B4C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762000</xdr:colOff>
      <xdr:row>19</xdr:row>
      <xdr:rowOff>82550</xdr:rowOff>
    </xdr:from>
    <xdr:to>
      <xdr:col>13</xdr:col>
      <xdr:colOff>533400</xdr:colOff>
      <xdr:row>42</xdr:row>
      <xdr:rowOff>88900</xdr:rowOff>
    </xdr:to>
    <xdr:graphicFrame macro="">
      <xdr:nvGraphicFramePr>
        <xdr:cNvPr id="7" name="Chart 6">
          <a:extLst>
            <a:ext uri="{FF2B5EF4-FFF2-40B4-BE49-F238E27FC236}">
              <a16:creationId xmlns:a16="http://schemas.microsoft.com/office/drawing/2014/main" id="{8A8986B0-BC84-014A-97A2-D9CF9D8B59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152400</xdr:colOff>
      <xdr:row>18</xdr:row>
      <xdr:rowOff>101600</xdr:rowOff>
    </xdr:from>
    <xdr:to>
      <xdr:col>15</xdr:col>
      <xdr:colOff>0</xdr:colOff>
      <xdr:row>53</xdr:row>
      <xdr:rowOff>38100</xdr:rowOff>
    </xdr:to>
    <xdr:graphicFrame macro="">
      <xdr:nvGraphicFramePr>
        <xdr:cNvPr id="2" name="Chart 1">
          <a:extLst>
            <a:ext uri="{FF2B5EF4-FFF2-40B4-BE49-F238E27FC236}">
              <a16:creationId xmlns:a16="http://schemas.microsoft.com/office/drawing/2014/main" id="{4033629C-14C6-7E4F-BF36-06313DBB67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787400</xdr:colOff>
      <xdr:row>12</xdr:row>
      <xdr:rowOff>63500</xdr:rowOff>
    </xdr:from>
    <xdr:to>
      <xdr:col>15</xdr:col>
      <xdr:colOff>127000</xdr:colOff>
      <xdr:row>43</xdr:row>
      <xdr:rowOff>63500</xdr:rowOff>
    </xdr:to>
    <xdr:graphicFrame macro="">
      <xdr:nvGraphicFramePr>
        <xdr:cNvPr id="6" name="Chart 5">
          <a:extLst>
            <a:ext uri="{FF2B5EF4-FFF2-40B4-BE49-F238E27FC236}">
              <a16:creationId xmlns:a16="http://schemas.microsoft.com/office/drawing/2014/main" id="{15BD4A7B-957C-234B-8E55-BA8C805D4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23.524808680559" createdVersion="8" refreshedVersion="8" minRefreshableVersion="3" recordCount="150" xr:uid="{18268412-F288-4AC5-B244-49AE6E95915C}">
  <cacheSource type="worksheet">
    <worksheetSource ref="A1:X151" sheet="Clean Data"/>
  </cacheSource>
  <cacheFields count="24">
    <cacheField name="VIN" numFmtId="0">
      <sharedItems count="150">
        <s v="2T1BURHE0JC054321"/>
        <s v="KMHCT4AE9CU987654"/>
        <s v="1HGCV1F36JA123456"/>
        <s v="1HGCV1F36JA123451"/>
        <s v="4T1BF1FK8EU123456"/>
        <s v="1FTEW1E50JKF12345"/>
        <s v="4T1BF1FK3EU123461"/>
        <s v="1C4RJFBG7KC123461"/>
        <s v="4T1BF1FK4EU123462"/>
        <s v="1G1ZB5ST3JF123462"/>
        <s v="1HGCV1F43JA123463"/>
        <s v="4T1BF1FK5EU123463"/>
        <s v="KM8J3CA52JU123463"/>
        <s v="4T1BF1FK6EU123464"/>
        <s v="KM8J3CA53JU123464"/>
        <s v="4T1BF1FK7EU123465"/>
        <s v="KM8J3CA54JU123465"/>
        <s v="1C4RJFBG9KC123465"/>
        <s v="1HGCV1F46JA123466"/>
        <s v="4T1BF1FK8EU123466"/>
        <s v="4T1BF1FK9EU123467"/>
        <s v="KM8J3CA56JU123467"/>
        <s v="5YJSA1E34JF123468"/>
        <s v="1HGCV1F48JA123468"/>
        <s v="4T1BF1FK0EU123468"/>
        <s v="1C4RJFBG2KC123468"/>
        <s v="4T1BF1FK1EU123469"/>
        <s v="1N4AL3AP1JC123469"/>
        <s v="4T1BF1FK2EU123470"/>
        <s v="1N4AL3AP2JC123470"/>
        <s v="1C4RJFBG4KC123470"/>
        <s v="4T1BF1FK3EU123471"/>
        <s v="KM8J3CA60JU123471"/>
        <s v="1C4RJFBG5KC123471"/>
        <s v="1HGBH41JXMN109186"/>
        <s v="3N1AB7AP9HY123456"/>
        <s v="5NPE34AF5KH654329"/>
        <s v="1C4RJFAG8KC321654"/>
        <s v="5YJSA1E26JF123456"/>
        <s v="1N4AL3AP8JC123456"/>
        <s v="1C4RJFBG3KC123456"/>
        <s v="KM8J3CA50JU123461"/>
        <s v="WBA8E9G63HNU12350"/>
        <s v="1N4AL3AP4JC123465"/>
        <s v="1FTEW1E55JKF12350"/>
        <s v="WBA8E9G64HNU12359"/>
        <s v="1C4RJFBG8KC123464"/>
        <s v="1G1ZB5ST6JF123465"/>
        <s v="1FTEW1E59JKF12354"/>
        <s v="1C4RJFBG1KC123467"/>
        <s v="1G1ZB5ST9JF123468"/>
        <s v="KM8J3CA59JU123470"/>
        <s v="1FTEW1E63JKF12358"/>
        <s v="WBA8E9G68HNU12355"/>
        <s v="1N4AL3AP3JC123479"/>
        <s v="1C4RJFBG3KC123451"/>
        <s v="1FTEW1E59JKF12351"/>
        <s v="1N4AL3AP4JC123461"/>
        <s v="1C4RJFBG1KC123461"/>
        <s v="1C4RJFBG3KC123452"/>
        <s v="1N4AL3AP3JC123471"/>
        <s v="1G1ZB5ST6JF123461"/>
        <s v="KM8J3CA59JU123471"/>
        <s v="1FTEW1E63JKF12351"/>
        <s v="1C4RJFBG1KC123462"/>
        <s v="1C4RJFAG8KC321651"/>
        <s v="1FTEW1E63JKF12352"/>
        <s v="5NPE34AF5KH654321"/>
        <s v="1G1ZB5ST9JF123461"/>
        <s v="1C4RJFBG1KC123463"/>
        <s v="3N1AB7AP9HY123451"/>
        <s v="1FTEW1E63JKF12353"/>
        <s v="1N4AL3AP8JC123451"/>
        <s v="3N1AB7AP9HY123452"/>
        <s v="1C4RJFBG1KC123464"/>
        <s v="1HGBH41JXMN109181"/>
        <s v="1N4AL3AP3JC123472"/>
        <s v="1G1ZB5ST9JF123462"/>
        <s v="WBA8E9G68HNU12351"/>
        <s v="WBA8E9G64HNU12351"/>
        <s v="1FTEW1E55JKF12351"/>
        <s v="1N4AL3AP4JC123462"/>
        <s v="1N4AL3AP4JC123463"/>
        <s v="1G1ZB5ST6JF123462"/>
        <s v="KM8J3CA59JU123472"/>
        <s v="1FTEW1E59JKF12352"/>
        <s v="WBA8E9G68HNU12352"/>
        <s v="5NPE34AF5KH654322"/>
        <s v="5YJSA1E26JF123451"/>
        <s v="1G1ZB5ST6JF123463"/>
        <s v="1C4RJFBG3KC123453"/>
        <s v="1C4RJFBG1KC123465"/>
        <s v="1C4RJFBG3KC123454"/>
        <s v="1C4RJFBG8KC123461"/>
        <s v="1C4RJFAG8KC321652"/>
        <s v="WBA8E9G68HNU12353"/>
        <s v="WBA8E9G63HNU12351"/>
        <s v="1C4RJFBG8KC123462"/>
        <s v="1N4AL3AP3JC123473"/>
        <s v="1N4AL3AP3JC123474"/>
        <s v="1C4RJFBG1KC123466"/>
        <s v="3N1AB7AP9HY123453"/>
        <s v="1FTEW1E59JKF12353"/>
        <s v="1N4AL3AP4JC123464"/>
        <s v="1C4RJFBG3KC123455"/>
        <s v="WBA8E9G59HNU12346"/>
        <s v="5YJSA1E27JF123457"/>
        <s v="4T1BF1FK9EU123457"/>
        <s v="1G1ZB5ST9JF123457"/>
        <s v="WBA8E9G60HNU12347"/>
        <s v="4T1BF1FK0EU123458"/>
        <s v="1N4AL3AP0JC123458"/>
        <s v="WBA8E9G61HNU12348"/>
        <s v="4T1BF1FK1EU123459"/>
        <s v="1C4RJFBG6KC123459"/>
        <s v="WBA8E9G62HNU12349"/>
        <s v="4T1BF1FK2EU123460"/>
        <s v="5YJSA1E30JF123462"/>
        <s v="1HGCV1F37JA123457"/>
        <s v="5YJSA1E28JF123458"/>
        <s v="WBA8E9G59HNU12341"/>
        <s v="5YJSA1E27JF123451"/>
        <s v="4T1BF1FK9EU123451"/>
        <s v="1G1ZB5ST9JF123451"/>
        <s v="WBA8E9G60HNU12341"/>
        <s v="4T1BF1FK0EU123451"/>
        <s v="1N4AL3AP0JC123451"/>
        <s v="WBA8E9G61HNU12341"/>
        <s v="4T1BF1FK1EU123451"/>
        <s v="1C4RJFBG6KC123451"/>
        <s v="WBA8E9G62HNU12341"/>
        <s v="4T1BF1FK2EU123461"/>
        <s v="5YJSA1E30JF123461"/>
        <s v="1HGCV1F37JA123451"/>
        <s v="5YJSA1E28JF123451"/>
        <s v="WBA8E9G59HNU12342"/>
        <s v="5YJSA1E27JF123452"/>
        <s v="4T1BF1FK9EU123452"/>
        <s v="1G1ZB5ST9JF123452"/>
        <s v="WBA8E9G60HNU12342"/>
        <s v="4T1BF1FK0EU123452"/>
        <s v="1N4AL3AP0JC123452"/>
        <s v="WBA8E9G61HNU12342"/>
        <s v="4T1BF1FK1EU123452"/>
        <s v="1C4RJFBG6KC123452"/>
        <s v="WBA8E9G62HNU12342"/>
        <s v="4T1BF1FK2EU123462"/>
        <s v="5YJSA1E30JF123463"/>
        <s v="1HGCV1F37JA123452"/>
        <s v="5YJSA1E28JF123452"/>
      </sharedItems>
    </cacheField>
    <cacheField name="Make" numFmtId="49">
      <sharedItems count="9">
        <s v="Toyota"/>
        <s v="Honda"/>
        <s v="Nissan"/>
        <s v="Hyundai"/>
        <s v="Jeep"/>
        <s v="Tesla"/>
        <s v="BMW"/>
        <s v="Ford"/>
        <s v="Chevrolet"/>
      </sharedItems>
    </cacheField>
    <cacheField name="Model" numFmtId="49">
      <sharedItems count="34">
        <s v="Corolla"/>
        <s v="Prius"/>
        <s v="Camry"/>
        <s v="Avalon"/>
        <s v="Sequoia"/>
        <s v="RAV4"/>
        <s v="Highlander"/>
        <s v="Mirai"/>
        <s v="FJ Cruiser"/>
        <s v="Venza"/>
        <s v="Yaris"/>
        <s v="C-HR"/>
        <s v="Civic"/>
        <s v="Altima"/>
        <s v="Elantra"/>
        <s v="Grand Cherokee"/>
        <s v="Model S"/>
        <s v="Accent"/>
        <s v="7 Series"/>
        <s v="Armada"/>
        <s v="Bronco"/>
        <s v="8 Series"/>
        <s v="Commander"/>
        <s v="Blazer"/>
        <s v="EcoSport"/>
        <s v="Avenger"/>
        <s v="Bolt"/>
        <s v="Elantra N"/>
        <s v="Bronco Sport"/>
        <s v="M3"/>
        <s v="GT-R"/>
        <s v="Tacoma"/>
        <s v="Accord"/>
        <s v="Model Y"/>
      </sharedItems>
    </cacheField>
    <cacheField name="Vehicle_Category" numFmtId="49">
      <sharedItems/>
    </cacheField>
    <cacheField name="Vehicle_Sub_Category" numFmtId="49">
      <sharedItems/>
    </cacheField>
    <cacheField name="Market_Segment" numFmtId="49">
      <sharedItems count="3">
        <s v="Standard"/>
        <s v="Eco-Friendly"/>
        <s v="Luxury_Performance"/>
      </sharedItems>
    </cacheField>
    <cacheField name="Sale_Price" numFmtId="164">
      <sharedItems containsSemiMixedTypes="0" containsString="0" containsNumber="1" containsInteger="1" minValue="10435" maxValue="115900"/>
    </cacheField>
    <cacheField name="Sale_Price_Segment" numFmtId="164">
      <sharedItems count="5">
        <s v="Under $25,000"/>
        <s v="$25K-$39.9K"/>
        <s v="$40K-$59.9K"/>
        <s v="$60K-$89.9K"/>
        <s v="$90K-$129.9K"/>
      </sharedItems>
    </cacheField>
    <cacheField name="Customer_Name" numFmtId="49">
      <sharedItems count="69">
        <s v="Sarah Johnson"/>
        <s v="Robert Wilson"/>
        <s v="Patricia Martinez"/>
        <s v="James Anderson"/>
        <s v="Daniel Harris"/>
        <s v="Philip Martin"/>
        <s v="Gloria Lee"/>
        <s v="Martha Anderson"/>
        <s v="Sandra Harris"/>
        <s v="Betty Thompson"/>
        <s v="Kenneth Garcia"/>
        <s v="Donald Wilson"/>
        <s v="Michelle Jackson"/>
        <s v="Angela Harris"/>
        <s v="Amy Moore"/>
        <s v="Nicole Anderson"/>
        <s v="Brandon Thomas"/>
        <s v="Gregory Martin"/>
        <s v="Christina Thompson"/>
        <s v="Amanda Jackson"/>
        <s v="Brittany Harris"/>
        <s v="Rachel Lee"/>
        <s v="Sean Wilson"/>
        <s v="Courtney Moore"/>
        <s v="Devin Thomas"/>
        <s v="Jenna Thompson"/>
        <s v="Cameron Garcia"/>
        <s v="Sierra Jackson"/>
        <s v="Parker White"/>
        <s v="Hunter Martin"/>
        <s v="Brooke Moore"/>
        <s v="Peyton Anderson"/>
        <s v="Bryce Thomas"/>
        <s v="John Smith"/>
        <s v="Mike Davis"/>
        <s v="Lisa Chen"/>
        <s v="Amanda Taylor"/>
        <s v="Michael Rodriguez"/>
        <s v="Mary Thomas"/>
        <s v="Elizabeth White"/>
        <s v="Bobby Garcia"/>
        <s v="Keith Wilson"/>
        <s v="Terry Thomas"/>
        <s v="Gerald White"/>
        <s v="Paul Martin"/>
        <s v="Matthew Martin"/>
        <s v="Zachary White"/>
        <s v="Megan Moore"/>
        <s v="Tyler Martin"/>
        <s v="Marcus White"/>
        <s v="Savannah Harris"/>
        <s v="Destiny Thompson"/>
        <s v="Autumn Lee"/>
        <s v="Easton Taylor"/>
        <s v="Joseph Thompson"/>
        <s v="Nancy Garcia"/>
        <s v="Linda Wilson"/>
        <s v="Helen Jackson"/>
        <s v="Edward White"/>
        <s v="Ruth Thompson"/>
        <s v="Joe Garcia"/>
        <s v="Gloria Anderson"/>
        <s v="Ralph White"/>
        <s v="Kathryn Thompson"/>
        <s v="Harold Wilson"/>
        <s v="Roy Taylor"/>
        <s v="Eugene White"/>
        <s v="Kenneth Lee"/>
        <s v="Donna Harris"/>
      </sharedItems>
    </cacheField>
    <cacheField name="CUSTOMER_First Name" numFmtId="49">
      <sharedItems count="66">
        <s v="Sarah"/>
        <s v="Robert"/>
        <s v="Patricia"/>
        <s v="James"/>
        <s v="Daniel"/>
        <s v="Philip"/>
        <s v="Gloria"/>
        <s v="Martha"/>
        <s v="Sandra"/>
        <s v="Betty"/>
        <s v="Kenneth"/>
        <s v="Donald"/>
        <s v="Michelle"/>
        <s v="Angela"/>
        <s v="Amy"/>
        <s v="Nicole"/>
        <s v="Brandon"/>
        <s v="Gregory"/>
        <s v="Christina"/>
        <s v="Amanda"/>
        <s v="Brittany"/>
        <s v="Rachel"/>
        <s v="Sean"/>
        <s v="Courtney"/>
        <s v="Devin"/>
        <s v="Jenna"/>
        <s v="Cameron"/>
        <s v="Sierra"/>
        <s v="Parker"/>
        <s v="Hunter"/>
        <s v="Brooke"/>
        <s v="Peyton"/>
        <s v="Bryce"/>
        <s v="John"/>
        <s v="Mike"/>
        <s v="Lisa"/>
        <s v="Michael"/>
        <s v="Mary"/>
        <s v="Elizabeth"/>
        <s v="Bobby"/>
        <s v="Keith"/>
        <s v="Terry"/>
        <s v="Gerald"/>
        <s v="Paul"/>
        <s v="Matthew"/>
        <s v="Zachary"/>
        <s v="Megan"/>
        <s v="Tyler"/>
        <s v="Marcus"/>
        <s v="Savannah"/>
        <s v="Destiny"/>
        <s v="Autumn"/>
        <s v="Easton"/>
        <s v="Joseph"/>
        <s v="Nancy"/>
        <s v="Linda"/>
        <s v="Helen"/>
        <s v="Edward"/>
        <s v="Ruth"/>
        <s v="Joe"/>
        <s v="Ralph"/>
        <s v="Kathryn"/>
        <s v="Harold"/>
        <s v="Roy"/>
        <s v="Eugene"/>
        <s v="Donna"/>
      </sharedItems>
    </cacheField>
    <cacheField name="CUSTOMER_Last Name" numFmtId="49">
      <sharedItems/>
    </cacheField>
    <cacheField name="Customer_Email" numFmtId="49">
      <sharedItems/>
    </cacheField>
    <cacheField name="Dealer_Name" numFmtId="0">
      <sharedItems containsBlank="1" count="10">
        <s v="Toyota Center"/>
        <s v="Hyundai Plus"/>
        <s v="metro honda"/>
        <s v="Ford Country"/>
        <s v="jeep nation"/>
        <s v="Chevy World"/>
        <s v="Tesla Direct"/>
        <s v="Nissan Direct"/>
        <m/>
        <s v="BMW Elite"/>
      </sharedItems>
    </cacheField>
    <cacheField name="UNKNOWN_Dealer_Name" numFmtId="0">
      <sharedItems/>
    </cacheField>
    <cacheField name="Dealer_Region" numFmtId="0">
      <sharedItems/>
    </cacheField>
    <cacheField name="Fuel_Type" numFmtId="0">
      <sharedItems count="4">
        <s v="Gasoline"/>
        <s v="Hybrid"/>
        <s v="Hydrogen"/>
        <s v="Electric"/>
      </sharedItems>
    </cacheField>
    <cacheField name="UNKNOWN Engine_Size" numFmtId="2">
      <sharedItems/>
    </cacheField>
    <cacheField name="UNKNOWN Color" numFmtId="49">
      <sharedItems count="10">
        <s v="White"/>
        <s v="Black"/>
        <s v="Silver"/>
        <s v="Blue"/>
        <s v="Red"/>
        <s v="Orange"/>
        <s v="Gray"/>
        <s v="Yellow"/>
        <s v="Green"/>
        <s v="UNKNOWN"/>
      </sharedItems>
    </cacheField>
    <cacheField name="Mileage" numFmtId="2">
      <sharedItems containsSemiMixedTypes="0" containsString="0" containsNumber="1" containsInteger="1" minValue="1000" maxValue="45000"/>
    </cacheField>
    <cacheField name="Model_Year" numFmtId="0">
      <sharedItems containsSemiMixedTypes="0" containsString="0" containsNumber="1" containsInteger="1" minValue="2016" maxValue="2024"/>
    </cacheField>
    <cacheField name="Sales_Date_A" numFmtId="14">
      <sharedItems containsSemiMixedTypes="0" containsNonDate="0" containsDate="1" containsString="0" minDate="2454-02-24T00:00:00" maxDate="2454-03-08T00:00:00" count="12">
        <d v="2454-02-24T00:00:00"/>
        <d v="2454-02-25T00:00:00"/>
        <d v="2454-02-26T00:00:00"/>
        <d v="2454-03-02T00:00:00"/>
        <d v="2454-03-03T00:00:00"/>
        <d v="2454-03-04T00:00:00"/>
        <d v="2454-03-05T00:00:00"/>
        <d v="2454-03-06T00:00:00"/>
        <d v="2454-03-07T00:00:00"/>
        <d v="2454-02-27T00:00:00"/>
        <d v="2454-02-28T00:00:00"/>
        <d v="2454-03-01T00:00:00"/>
      </sharedItems>
    </cacheField>
    <cacheField name="CONVERT Sales_Date_A" numFmtId="165">
      <sharedItems containsSemiMixedTypes="0" containsNonDate="0" containsDate="1" containsString="0" minDate="2024-01-31T00:00:00" maxDate="2025-01-01T00:00:00" count="12">
        <d v="2024-01-31T00:00:00"/>
        <d v="2024-02-29T00:00:00"/>
        <d v="2024-03-31T00:00:00"/>
        <d v="2024-07-31T00:00:00"/>
        <d v="2024-08-31T00:00:00"/>
        <d v="2024-09-30T00:00:00"/>
        <d v="2024-10-31T00:00:00"/>
        <d v="2024-11-30T00:00:00"/>
        <d v="2024-12-31T00:00:00"/>
        <d v="2024-04-30T00:00:00"/>
        <d v="2024-05-31T00:00:00"/>
        <d v="2024-06-30T00:00:00"/>
      </sharedItems>
    </cacheField>
    <cacheField name="Sales_Date_Month" numFmtId="49">
      <sharedItems count="12">
        <s v="Jan"/>
        <s v="Feb"/>
        <s v="Mar"/>
        <s v="Jul"/>
        <s v="Aug"/>
        <s v="Sep"/>
        <s v="Oct"/>
        <s v="Nov"/>
        <s v="Dec"/>
        <s v="Apr"/>
        <s v="May"/>
        <s v="Jun"/>
      </sharedItems>
    </cacheField>
    <cacheField name="Quarter" numFmtId="0">
      <sharedItems count="4">
        <s v="Q1"/>
        <s v="Q3"/>
        <s v="Q4"/>
        <s v="Q2"/>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cy Ellie Monfiston" refreshedDate="45978.32967835648" createdVersion="7" refreshedVersion="7" minRefreshableVersion="3" recordCount="150" xr:uid="{9B08263E-6442-4740-A450-692CFDDD9EFB}">
  <cacheSource type="worksheet">
    <worksheetSource name="Table3"/>
  </cacheSource>
  <cacheFields count="25">
    <cacheField name="VIN" numFmtId="0">
      <sharedItems count="150">
        <s v="2T1BURHE0JC054321"/>
        <s v="KMHCT4AE9CU987654"/>
        <s v="1HGCV1F36JA123456"/>
        <s v="1HGCV1F36JA123451"/>
        <s v="4T1BF1FK8EU123456"/>
        <s v="1FTEW1E50JKF12345"/>
        <s v="4T1BF1FK3EU123461"/>
        <s v="1C4RJFBG7KC123461"/>
        <s v="4T1BF1FK4EU123462"/>
        <s v="1G1ZB5ST3JF123462"/>
        <s v="1HGCV1F43JA123463"/>
        <s v="4T1BF1FK5EU123463"/>
        <s v="KM8J3CA52JU123463"/>
        <s v="4T1BF1FK6EU123464"/>
        <s v="KM8J3CA53JU123464"/>
        <s v="4T1BF1FK7EU123465"/>
        <s v="KM8J3CA54JU123465"/>
        <s v="1C4RJFBG9KC123465"/>
        <s v="1HGCV1F46JA123466"/>
        <s v="4T1BF1FK8EU123466"/>
        <s v="4T1BF1FK9EU123467"/>
        <s v="KM8J3CA56JU123467"/>
        <s v="5YJSA1E34JF123468"/>
        <s v="1HGCV1F48JA123468"/>
        <s v="4T1BF1FK0EU123468"/>
        <s v="1C4RJFBG2KC123468"/>
        <s v="4T1BF1FK1EU123469"/>
        <s v="1N4AL3AP1JC123469"/>
        <s v="4T1BF1FK2EU123470"/>
        <s v="1N4AL3AP2JC123470"/>
        <s v="1C4RJFBG4KC123470"/>
        <s v="4T1BF1FK3EU123471"/>
        <s v="KM8J3CA60JU123471"/>
        <s v="1C4RJFBG5KC123471"/>
        <s v="1HGBH41JXMN109186"/>
        <s v="3N1AB7AP9HY123456"/>
        <s v="5NPE34AF5KH654329"/>
        <s v="1C4RJFAG8KC321654"/>
        <s v="5YJSA1E26JF123456"/>
        <s v="1N4AL3AP8JC123456"/>
        <s v="1C4RJFBG3KC123456"/>
        <s v="KM8J3CA50JU123461"/>
        <s v="WBA8E9G63HNU12350"/>
        <s v="1N4AL3AP4JC123465"/>
        <s v="1FTEW1E55JKF12350"/>
        <s v="WBA8E9G64HNU12359"/>
        <s v="1C4RJFBG8KC123464"/>
        <s v="1G1ZB5ST6JF123465"/>
        <s v="1FTEW1E59JKF12354"/>
        <s v="1C4RJFBG1KC123467"/>
        <s v="1G1ZB5ST9JF123468"/>
        <s v="KM8J3CA59JU123470"/>
        <s v="1FTEW1E63JKF12358"/>
        <s v="WBA8E9G68HNU12355"/>
        <s v="1N4AL3AP3JC123479"/>
        <s v="1C4RJFBG3KC123451"/>
        <s v="1FTEW1E59JKF12351"/>
        <s v="1N4AL3AP4JC123461"/>
        <s v="1C4RJFBG1KC123461"/>
        <s v="1C4RJFBG3KC123452"/>
        <s v="1N4AL3AP3JC123471"/>
        <s v="1G1ZB5ST6JF123461"/>
        <s v="KM8J3CA59JU123471"/>
        <s v="1FTEW1E63JKF12351"/>
        <s v="1C4RJFBG1KC123462"/>
        <s v="1C4RJFAG8KC321651"/>
        <s v="1FTEW1E63JKF12352"/>
        <s v="5NPE34AF5KH654321"/>
        <s v="1G1ZB5ST9JF123461"/>
        <s v="1C4RJFBG1KC123463"/>
        <s v="3N1AB7AP9HY123451"/>
        <s v="1FTEW1E63JKF12353"/>
        <s v="1N4AL3AP8JC123451"/>
        <s v="3N1AB7AP9HY123452"/>
        <s v="1C4RJFBG1KC123464"/>
        <s v="1HGBH41JXMN109181"/>
        <s v="1N4AL3AP3JC123472"/>
        <s v="1G1ZB5ST9JF123462"/>
        <s v="WBA8E9G68HNU12351"/>
        <s v="WBA8E9G64HNU12351"/>
        <s v="1FTEW1E55JKF12351"/>
        <s v="1N4AL3AP4JC123462"/>
        <s v="1N4AL3AP4JC123463"/>
        <s v="1G1ZB5ST6JF123462"/>
        <s v="KM8J3CA59JU123472"/>
        <s v="1FTEW1E59JKF12352"/>
        <s v="WBA8E9G68HNU12352"/>
        <s v="5NPE34AF5KH654322"/>
        <s v="5YJSA1E26JF123451"/>
        <s v="1G1ZB5ST6JF123463"/>
        <s v="1C4RJFBG3KC123453"/>
        <s v="1C4RJFBG1KC123465"/>
        <s v="1C4RJFBG3KC123454"/>
        <s v="1C4RJFBG8KC123461"/>
        <s v="1C4RJFAG8KC321652"/>
        <s v="WBA8E9G68HNU12353"/>
        <s v="WBA8E9G63HNU12351"/>
        <s v="1C4RJFBG8KC123462"/>
        <s v="1N4AL3AP3JC123473"/>
        <s v="1N4AL3AP3JC123474"/>
        <s v="1C4RJFBG1KC123466"/>
        <s v="3N1AB7AP9HY123453"/>
        <s v="1FTEW1E59JKF12353"/>
        <s v="1N4AL3AP4JC123464"/>
        <s v="1C4RJFBG3KC123455"/>
        <s v="WBA8E9G59HNU12346"/>
        <s v="5YJSA1E27JF123457"/>
        <s v="4T1BF1FK9EU123457"/>
        <s v="1G1ZB5ST9JF123457"/>
        <s v="WBA8E9G60HNU12347"/>
        <s v="4T1BF1FK0EU123458"/>
        <s v="1N4AL3AP0JC123458"/>
        <s v="WBA8E9G61HNU12348"/>
        <s v="4T1BF1FK1EU123459"/>
        <s v="1C4RJFBG6KC123459"/>
        <s v="WBA8E9G62HNU12349"/>
        <s v="4T1BF1FK2EU123460"/>
        <s v="5YJSA1E30JF123462"/>
        <s v="1HGCV1F37JA123457"/>
        <s v="5YJSA1E28JF123458"/>
        <s v="WBA8E9G59HNU12341"/>
        <s v="5YJSA1E27JF123451"/>
        <s v="4T1BF1FK9EU123451"/>
        <s v="1G1ZB5ST9JF123451"/>
        <s v="WBA8E9G60HNU12341"/>
        <s v="4T1BF1FK0EU123451"/>
        <s v="1N4AL3AP0JC123451"/>
        <s v="WBA8E9G61HNU12341"/>
        <s v="4T1BF1FK1EU123451"/>
        <s v="1C4RJFBG6KC123451"/>
        <s v="WBA8E9G62HNU12341"/>
        <s v="4T1BF1FK2EU123461"/>
        <s v="5YJSA1E30JF123461"/>
        <s v="1HGCV1F37JA123451"/>
        <s v="5YJSA1E28JF123451"/>
        <s v="WBA8E9G59HNU12342"/>
        <s v="5YJSA1E27JF123452"/>
        <s v="4T1BF1FK9EU123452"/>
        <s v="1G1ZB5ST9JF123452"/>
        <s v="WBA8E9G60HNU12342"/>
        <s v="4T1BF1FK0EU123452"/>
        <s v="1N4AL3AP0JC123452"/>
        <s v="WBA8E9G61HNU12342"/>
        <s v="4T1BF1FK1EU123452"/>
        <s v="1C4RJFBG6KC123452"/>
        <s v="WBA8E9G62HNU12342"/>
        <s v="4T1BF1FK2EU123462"/>
        <s v="5YJSA1E30JF123463"/>
        <s v="1HGCV1F37JA123452"/>
        <s v="5YJSA1E28JF123452"/>
      </sharedItems>
    </cacheField>
    <cacheField name="Make" numFmtId="49">
      <sharedItems count="9">
        <s v="Toyota"/>
        <s v="Honda"/>
        <s v="Nissan"/>
        <s v="Hyundai"/>
        <s v="Jeep"/>
        <s v="Tesla"/>
        <s v="BMW"/>
        <s v="Ford"/>
        <s v="Chevrolet"/>
      </sharedItems>
    </cacheField>
    <cacheField name="Model" numFmtId="49">
      <sharedItems count="34">
        <s v="Corolla"/>
        <s v="Prius"/>
        <s v="Camry"/>
        <s v="Avalon"/>
        <s v="Sequoia"/>
        <s v="RAV4"/>
        <s v="Highlander"/>
        <s v="Mirai"/>
        <s v="FJ Cruiser"/>
        <s v="Venza"/>
        <s v="Yaris"/>
        <s v="C-HR"/>
        <s v="Civic"/>
        <s v="Altima"/>
        <s v="Elantra"/>
        <s v="Grand Cherokee"/>
        <s v="Model S"/>
        <s v="Accent"/>
        <s v="7 Series"/>
        <s v="Armada"/>
        <s v="Bronco"/>
        <s v="8 Series"/>
        <s v="Commander"/>
        <s v="Blazer"/>
        <s v="EcoSport"/>
        <s v="Avenger"/>
        <s v="Bolt"/>
        <s v="Elantra N"/>
        <s v="Bronco Sport"/>
        <s v="M3"/>
        <s v="GT-R"/>
        <s v="Tacoma"/>
        <s v="Accord"/>
        <s v="Model Y"/>
      </sharedItems>
    </cacheField>
    <cacheField name="Vehicle_Category" numFmtId="49">
      <sharedItems count="5">
        <s v="Sedan"/>
        <s v="Hatchback"/>
        <s v="SUV"/>
        <s v="Coupe"/>
        <s v="Truck"/>
      </sharedItems>
    </cacheField>
    <cacheField name="Vehicle_Sub_Category" numFmtId="49">
      <sharedItems/>
    </cacheField>
    <cacheField name="Market_Segment" numFmtId="49">
      <sharedItems count="3">
        <s v="Standard"/>
        <s v="Eco-Friendly"/>
        <s v="Luxury_Performance"/>
      </sharedItems>
    </cacheField>
    <cacheField name="Sale_Price" numFmtId="164">
      <sharedItems containsSemiMixedTypes="0" containsString="0" containsNumber="1" containsInteger="1" minValue="10435" maxValue="115900" count="35">
        <n v="24500"/>
        <n v="27000"/>
        <n v="22000"/>
        <n v="28000"/>
        <n v="39500"/>
        <n v="56900"/>
        <n v="32000"/>
        <n v="43000"/>
        <n v="58500"/>
        <n v="31500"/>
        <n v="35800"/>
        <n v="18500"/>
        <n v="26500"/>
        <n v="26800"/>
        <n v="22900"/>
        <n v="38900"/>
        <n v="89500"/>
        <n v="27500"/>
        <n v="41200"/>
        <n v="18900"/>
        <n v="89900"/>
        <n v="51200"/>
        <n v="99900"/>
        <n v="35200"/>
        <n v="27900"/>
        <n v="26900"/>
        <n v="34500"/>
        <n v="29800"/>
        <n v="69900"/>
        <n v="115900"/>
        <n v="29500"/>
        <n v="44800"/>
        <n v="33500"/>
        <n v="10435"/>
        <n v="10436"/>
      </sharedItems>
    </cacheField>
    <cacheField name="Sale_Price_Segment" numFmtId="164">
      <sharedItems/>
    </cacheField>
    <cacheField name="Customer_Name" numFmtId="49">
      <sharedItems/>
    </cacheField>
    <cacheField name="CUSTOMER_First Name" numFmtId="49">
      <sharedItems/>
    </cacheField>
    <cacheField name="CUSTOMER_Last Name" numFmtId="49">
      <sharedItems/>
    </cacheField>
    <cacheField name="Customer_Email" numFmtId="49">
      <sharedItems/>
    </cacheField>
    <cacheField name="Dealer_Name" numFmtId="0">
      <sharedItems containsBlank="1"/>
    </cacheField>
    <cacheField name="UNKNOWN_Dealer_Name" numFmtId="0">
      <sharedItems count="10">
        <s v="Toyota Center"/>
        <s v="Hyundai Plus"/>
        <s v="metro honda"/>
        <s v="Ford Country"/>
        <s v="jeep nation"/>
        <s v="Chevy World"/>
        <s v="Tesla Direct"/>
        <s v="Nissan Direct"/>
        <s v="UNKNOWN"/>
        <s v="BMW Elite"/>
      </sharedItems>
    </cacheField>
    <cacheField name="Dealer_Region" numFmtId="0">
      <sharedItems count="4">
        <s v="West"/>
        <s v="Northeast"/>
        <s v="Midwest"/>
        <s v="South"/>
      </sharedItems>
    </cacheField>
    <cacheField name="Fuel_Type" numFmtId="0">
      <sharedItems/>
    </cacheField>
    <cacheField name="UNKNOWN Engine_Size" numFmtId="2">
      <sharedItems/>
    </cacheField>
    <cacheField name="UNKNOWN Color" numFmtId="49">
      <sharedItems/>
    </cacheField>
    <cacheField name="Mileage" numFmtId="2">
      <sharedItems containsSemiMixedTypes="0" containsString="0" containsNumber="1" containsInteger="1" minValue="1000" maxValue="45000"/>
    </cacheField>
    <cacheField name="Model_Year" numFmtId="0">
      <sharedItems containsSemiMixedTypes="0" containsString="0" containsNumber="1" containsInteger="1" minValue="2016" maxValue="2024"/>
    </cacheField>
    <cacheField name="Sales_Date_A" numFmtId="14">
      <sharedItems containsSemiMixedTypes="0" containsNonDate="0" containsDate="1" containsString="0" minDate="2454-02-24T00:00:00" maxDate="2454-03-08T00:00:00" count="12">
        <d v="2454-02-24T00:00:00"/>
        <d v="2454-02-25T00:00:00"/>
        <d v="2454-02-26T00:00:00"/>
        <d v="2454-03-02T00:00:00"/>
        <d v="2454-03-03T00:00:00"/>
        <d v="2454-03-04T00:00:00"/>
        <d v="2454-03-05T00:00:00"/>
        <d v="2454-03-06T00:00:00"/>
        <d v="2454-03-07T00:00:00"/>
        <d v="2454-02-27T00:00:00"/>
        <d v="2454-02-28T00:00:00"/>
        <d v="2454-03-01T00:00:00"/>
      </sharedItems>
    </cacheField>
    <cacheField name="CONVERT Sales_Date_A" numFmtId="165">
      <sharedItems containsSemiMixedTypes="0" containsNonDate="0" containsDate="1" containsString="0" minDate="2024-01-31T00:00:00" maxDate="2025-01-01T00:00:00" count="12">
        <d v="2024-01-31T00:00:00"/>
        <d v="2024-02-29T00:00:00"/>
        <d v="2024-03-31T00:00:00"/>
        <d v="2024-07-31T00:00:00"/>
        <d v="2024-08-31T00:00:00"/>
        <d v="2024-09-30T00:00:00"/>
        <d v="2024-10-31T00:00:00"/>
        <d v="2024-11-30T00:00:00"/>
        <d v="2024-12-31T00:00:00"/>
        <d v="2024-04-30T00:00:00"/>
        <d v="2024-05-31T00:00:00"/>
        <d v="2024-06-30T00:00:00"/>
      </sharedItems>
      <fieldGroup par="24" base="21">
        <rangePr groupBy="days" startDate="2024-01-31T00:00:00" endDate="2025-01-01T00:00:00"/>
        <groupItems count="368">
          <s v="&lt;1/3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5"/>
        </groupItems>
      </fieldGroup>
    </cacheField>
    <cacheField name="Sales_Date_Month" numFmtId="49">
      <sharedItems count="12">
        <s v="Jan"/>
        <s v="Feb"/>
        <s v="Mar"/>
        <s v="Jul"/>
        <s v="Aug"/>
        <s v="Sep"/>
        <s v="Oct"/>
        <s v="Nov"/>
        <s v="Dec"/>
        <s v="Apr"/>
        <s v="May"/>
        <s v="Jun"/>
      </sharedItems>
    </cacheField>
    <cacheField name="Quarter" numFmtId="0">
      <sharedItems count="4">
        <s v="Q1"/>
        <s v="Q3"/>
        <s v="Q4"/>
        <s v="Q2"/>
      </sharedItems>
    </cacheField>
    <cacheField name="Months" numFmtId="0" databaseField="0">
      <fieldGroup base="21">
        <rangePr groupBy="months" startDate="2024-01-31T00:00:00" endDate="2025-01-01T00:00:00"/>
        <groupItems count="14">
          <s v="&lt;1/31/24"/>
          <s v="Jan"/>
          <s v="Feb"/>
          <s v="Mar"/>
          <s v="Apr"/>
          <s v="May"/>
          <s v="Jun"/>
          <s v="Jul"/>
          <s v="Aug"/>
          <s v="Sep"/>
          <s v="Oct"/>
          <s v="Nov"/>
          <s v="Dec"/>
          <s v="&gt;1/1/25"/>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cy Ellie Monfiston" refreshedDate="45978.762095370374" createdVersion="7" refreshedVersion="7" minRefreshableVersion="3" recordCount="151" xr:uid="{001795EB-2CC5-8B4E-BFFE-8233D9D603F6}">
  <cacheSource type="worksheet">
    <worksheetSource ref="A1:X1048576" sheet="Clean Data"/>
  </cacheSource>
  <cacheFields count="24">
    <cacheField name="VIN" numFmtId="0">
      <sharedItems containsBlank="1"/>
    </cacheField>
    <cacheField name="Make" numFmtId="49">
      <sharedItems containsBlank="1" count="10">
        <s v="Toyota"/>
        <s v="Honda"/>
        <s v="Nissan"/>
        <s v="Hyundai"/>
        <s v="Jeep"/>
        <s v="Tesla"/>
        <s v="BMW"/>
        <s v="Ford"/>
        <s v="Chevrolet"/>
        <m/>
      </sharedItems>
    </cacheField>
    <cacheField name="Model" numFmtId="49">
      <sharedItems containsBlank="1" count="35">
        <s v="Corolla"/>
        <s v="Prius"/>
        <s v="Camry"/>
        <s v="Avalon"/>
        <s v="Sequoia"/>
        <s v="RAV4"/>
        <s v="Highlander"/>
        <s v="Mirai"/>
        <s v="FJ Cruiser"/>
        <s v="Venza"/>
        <s v="Yaris"/>
        <s v="C-HR"/>
        <s v="Civic"/>
        <s v="Altima"/>
        <s v="Elantra"/>
        <s v="Grand Cherokee"/>
        <s v="Model S"/>
        <s v="Accent"/>
        <s v="7 Series"/>
        <s v="Armada"/>
        <s v="Bronco"/>
        <s v="8 Series"/>
        <s v="Commander"/>
        <s v="Blazer"/>
        <s v="EcoSport"/>
        <s v="Avenger"/>
        <s v="Bolt"/>
        <s v="Elantra N"/>
        <s v="Bronco Sport"/>
        <s v="M3"/>
        <s v="GT-R"/>
        <s v="Tacoma"/>
        <s v="Accord"/>
        <s v="Model Y"/>
        <m/>
      </sharedItems>
    </cacheField>
    <cacheField name="Vehicle_Category" numFmtId="49">
      <sharedItems containsBlank="1"/>
    </cacheField>
    <cacheField name="Vehicle_Sub_Category" numFmtId="49">
      <sharedItems containsBlank="1"/>
    </cacheField>
    <cacheField name="Market_Segment" numFmtId="49">
      <sharedItems containsBlank="1"/>
    </cacheField>
    <cacheField name="Sale_Price" numFmtId="164">
      <sharedItems containsString="0" containsBlank="1" containsNumber="1" containsInteger="1" minValue="10435" maxValue="115900" count="36">
        <n v="24500"/>
        <n v="27000"/>
        <n v="22000"/>
        <n v="28000"/>
        <n v="39500"/>
        <n v="56900"/>
        <n v="32000"/>
        <n v="43000"/>
        <n v="58500"/>
        <n v="31500"/>
        <n v="35800"/>
        <n v="18500"/>
        <n v="26500"/>
        <n v="26800"/>
        <n v="22900"/>
        <n v="38900"/>
        <n v="89500"/>
        <n v="27500"/>
        <n v="41200"/>
        <n v="18900"/>
        <n v="89900"/>
        <n v="51200"/>
        <n v="99900"/>
        <n v="35200"/>
        <n v="27900"/>
        <n v="26900"/>
        <n v="34500"/>
        <n v="29800"/>
        <n v="69900"/>
        <n v="115900"/>
        <n v="29500"/>
        <n v="44800"/>
        <n v="33500"/>
        <n v="10435"/>
        <n v="10436"/>
        <m/>
      </sharedItems>
    </cacheField>
    <cacheField name="Sale_Price_Segment" numFmtId="164">
      <sharedItems containsBlank="1"/>
    </cacheField>
    <cacheField name="Customer_Name" numFmtId="49">
      <sharedItems containsBlank="1"/>
    </cacheField>
    <cacheField name="CUSTOMER_First Name" numFmtId="49">
      <sharedItems containsBlank="1"/>
    </cacheField>
    <cacheField name="CUSTOMER_Last Name" numFmtId="49">
      <sharedItems containsBlank="1"/>
    </cacheField>
    <cacheField name="Customer_Email" numFmtId="49">
      <sharedItems containsBlank="1"/>
    </cacheField>
    <cacheField name="Dealer_Name" numFmtId="0">
      <sharedItems containsBlank="1"/>
    </cacheField>
    <cacheField name="UNKNOWN_Dealer_Name" numFmtId="0">
      <sharedItems containsBlank="1"/>
    </cacheField>
    <cacheField name="Dealer_Region" numFmtId="0">
      <sharedItems containsBlank="1"/>
    </cacheField>
    <cacheField name="Fuel_Type" numFmtId="0">
      <sharedItems containsBlank="1"/>
    </cacheField>
    <cacheField name="UNKNOWN Engine_Size" numFmtId="2">
      <sharedItems containsBlank="1"/>
    </cacheField>
    <cacheField name="UNKNOWN Color" numFmtId="49">
      <sharedItems containsBlank="1"/>
    </cacheField>
    <cacheField name="Mileage" numFmtId="2">
      <sharedItems containsString="0" containsBlank="1" containsNumber="1" containsInteger="1" minValue="1000" maxValue="45000"/>
    </cacheField>
    <cacheField name="Model_Year" numFmtId="0">
      <sharedItems containsString="0" containsBlank="1" containsNumber="1" containsInteger="1" minValue="2016" maxValue="2024"/>
    </cacheField>
    <cacheField name="Sales_Date_A" numFmtId="14">
      <sharedItems containsNonDate="0" containsDate="1" containsString="0" containsBlank="1" minDate="2454-02-24T00:00:00" maxDate="2454-03-08T00:00:00"/>
    </cacheField>
    <cacheField name="CONVERT Sales_Date_A" numFmtId="165">
      <sharedItems containsNonDate="0" containsDate="1" containsString="0" containsBlank="1" minDate="2024-01-31T00:00:00" maxDate="2025-01-01T00:00:00"/>
    </cacheField>
    <cacheField name="Sales_Date_Month" numFmtId="49">
      <sharedItems containsBlank="1"/>
    </cacheField>
    <cacheField name="Quart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s v="Sedan"/>
    <s v="Subcompact_Compact Car"/>
    <x v="0"/>
    <n v="24500"/>
    <x v="0"/>
    <x v="0"/>
    <x v="0"/>
    <s v="Johnson"/>
    <s v="sarah.j@gmail.com"/>
    <x v="0"/>
    <s v="Toyota Center"/>
    <s v="West"/>
    <x v="0"/>
    <s v="1.8L"/>
    <x v="0"/>
    <n v="8500"/>
    <n v="2021"/>
    <x v="0"/>
    <x v="0"/>
    <x v="0"/>
    <x v="0"/>
  </r>
  <r>
    <x v="1"/>
    <x v="0"/>
    <x v="1"/>
    <s v="Hatchback"/>
    <s v="Hybrid"/>
    <x v="1"/>
    <n v="27000"/>
    <x v="1"/>
    <x v="1"/>
    <x v="1"/>
    <s v="Wilson"/>
    <s v="rwilson@email.com"/>
    <x v="1"/>
    <s v="Hyundai Plus"/>
    <s v="West"/>
    <x v="0"/>
    <s v="2.4L"/>
    <x v="1"/>
    <n v="28000"/>
    <n v="2019"/>
    <x v="1"/>
    <x v="1"/>
    <x v="1"/>
    <x v="0"/>
  </r>
  <r>
    <x v="2"/>
    <x v="0"/>
    <x v="0"/>
    <s v="Sedan"/>
    <s v="Subcompact_Compact Car"/>
    <x v="0"/>
    <n v="22000"/>
    <x v="0"/>
    <x v="2"/>
    <x v="2"/>
    <s v="Martinez"/>
    <s v="p.martinez@gmail.com"/>
    <x v="2"/>
    <s v="metro honda"/>
    <s v="Northeast"/>
    <x v="0"/>
    <s v="1.5L"/>
    <x v="2"/>
    <n v="19000"/>
    <n v="2021"/>
    <x v="2"/>
    <x v="2"/>
    <x v="2"/>
    <x v="0"/>
  </r>
  <r>
    <x v="3"/>
    <x v="0"/>
    <x v="0"/>
    <s v="Sedan"/>
    <s v="Subcompact_Compact Car"/>
    <x v="0"/>
    <n v="22000"/>
    <x v="0"/>
    <x v="2"/>
    <x v="2"/>
    <s v="Martinez"/>
    <s v="p.martinez@gmail.com"/>
    <x v="2"/>
    <s v="metro honda"/>
    <s v="Northeast"/>
    <x v="0"/>
    <s v="1.5L"/>
    <x v="2"/>
    <n v="19000"/>
    <n v="2021"/>
    <x v="2"/>
    <x v="2"/>
    <x v="2"/>
    <x v="0"/>
  </r>
  <r>
    <x v="4"/>
    <x v="0"/>
    <x v="0"/>
    <s v="Sedan"/>
    <s v="Subcompact_Compact Car"/>
    <x v="0"/>
    <n v="22000"/>
    <x v="0"/>
    <x v="3"/>
    <x v="3"/>
    <s v="Anderson"/>
    <s v="james.anderson@email.com"/>
    <x v="0"/>
    <s v="Toyota Center"/>
    <s v="West"/>
    <x v="1"/>
    <s v="2.5L"/>
    <x v="3"/>
    <n v="14000"/>
    <n v="2022"/>
    <x v="2"/>
    <x v="2"/>
    <x v="2"/>
    <x v="0"/>
  </r>
  <r>
    <x v="5"/>
    <x v="0"/>
    <x v="2"/>
    <s v="Sedan"/>
    <s v="Mid_Full-Size Car"/>
    <x v="0"/>
    <n v="28000"/>
    <x v="1"/>
    <x v="4"/>
    <x v="4"/>
    <s v="Harris"/>
    <s v="d.harris@email.com"/>
    <x v="3"/>
    <s v="Ford Country"/>
    <s v="Midwest"/>
    <x v="0"/>
    <s v="5.0L"/>
    <x v="4"/>
    <n v="21000"/>
    <n v="2021"/>
    <x v="2"/>
    <x v="2"/>
    <x v="2"/>
    <x v="0"/>
  </r>
  <r>
    <x v="6"/>
    <x v="0"/>
    <x v="3"/>
    <s v="Sedan"/>
    <s v="Full-Size Car"/>
    <x v="0"/>
    <n v="39500"/>
    <x v="1"/>
    <x v="5"/>
    <x v="5"/>
    <s v="Martin"/>
    <s v="p.martin@email.com"/>
    <x v="0"/>
    <s v="Toyota Center"/>
    <s v="West"/>
    <x v="0"/>
    <s v="3.5L"/>
    <x v="1"/>
    <n v="17000"/>
    <n v="2021"/>
    <x v="3"/>
    <x v="3"/>
    <x v="3"/>
    <x v="1"/>
  </r>
  <r>
    <x v="7"/>
    <x v="0"/>
    <x v="1"/>
    <s v="Hatchback"/>
    <s v="Hybrid"/>
    <x v="1"/>
    <n v="27000"/>
    <x v="1"/>
    <x v="6"/>
    <x v="6"/>
    <s v="Lee"/>
    <s v="g.lee@gmail.com"/>
    <x v="4"/>
    <s v="jeep nation"/>
    <s v="South"/>
    <x v="0"/>
    <s v="3.6L"/>
    <x v="5"/>
    <n v="11000"/>
    <n v="2023"/>
    <x v="3"/>
    <x v="3"/>
    <x v="3"/>
    <x v="1"/>
  </r>
  <r>
    <x v="8"/>
    <x v="0"/>
    <x v="4"/>
    <s v="SUV"/>
    <s v="Compact SUV"/>
    <x v="0"/>
    <n v="56900"/>
    <x v="2"/>
    <x v="7"/>
    <x v="7"/>
    <s v="Anderson"/>
    <s v="m.anderson@email.com"/>
    <x v="0"/>
    <s v="Toyota Center"/>
    <s v="West"/>
    <x v="0"/>
    <s v="5.7L"/>
    <x v="1"/>
    <n v="28000"/>
    <n v="2019"/>
    <x v="3"/>
    <x v="3"/>
    <x v="3"/>
    <x v="1"/>
  </r>
  <r>
    <x v="9"/>
    <x v="0"/>
    <x v="0"/>
    <s v="Sedan"/>
    <s v="Subcompact_Compact Car"/>
    <x v="0"/>
    <n v="22000"/>
    <x v="0"/>
    <x v="8"/>
    <x v="8"/>
    <s v="Harris"/>
    <s v="s.harris@email.com"/>
    <x v="5"/>
    <s v="Chevy World"/>
    <s v="Midwest"/>
    <x v="0"/>
    <s v="5.3L"/>
    <x v="6"/>
    <n v="25000"/>
    <n v="2020"/>
    <x v="3"/>
    <x v="3"/>
    <x v="3"/>
    <x v="1"/>
  </r>
  <r>
    <x v="10"/>
    <x v="0"/>
    <x v="5"/>
    <s v="SUV"/>
    <s v="Mid_Full-Size SUV"/>
    <x v="0"/>
    <n v="32000"/>
    <x v="1"/>
    <x v="9"/>
    <x v="9"/>
    <s v="Thompson"/>
    <s v="b.thompson@email.com"/>
    <x v="2"/>
    <s v="metro honda"/>
    <s v="Northeast"/>
    <x v="0"/>
    <s v="3.5L"/>
    <x v="2"/>
    <n v="22000"/>
    <n v="2021"/>
    <x v="4"/>
    <x v="4"/>
    <x v="4"/>
    <x v="1"/>
  </r>
  <r>
    <x v="11"/>
    <x v="0"/>
    <x v="6"/>
    <s v="SUV"/>
    <s v="Mid_Full-Size SUV"/>
    <x v="2"/>
    <n v="43000"/>
    <x v="2"/>
    <x v="10"/>
    <x v="10"/>
    <s v="Garcia"/>
    <s v="k.garcia@email.com"/>
    <x v="0"/>
    <s v="Toyota Center"/>
    <s v="West"/>
    <x v="1"/>
    <s v="2.5L"/>
    <x v="0"/>
    <n v="15000"/>
    <n v="2022"/>
    <x v="4"/>
    <x v="4"/>
    <x v="4"/>
    <x v="1"/>
  </r>
  <r>
    <x v="12"/>
    <x v="0"/>
    <x v="7"/>
    <s v="Sedan"/>
    <s v="Full-Size Car"/>
    <x v="0"/>
    <n v="58500"/>
    <x v="2"/>
    <x v="11"/>
    <x v="11"/>
    <s v="Wilson"/>
    <s v="d.wilson@email.com"/>
    <x v="1"/>
    <s v="Hyundai Plus"/>
    <s v="West"/>
    <x v="2"/>
    <s v="UNKNOWN"/>
    <x v="3"/>
    <n v="27000"/>
    <n v="2019"/>
    <x v="4"/>
    <x v="4"/>
    <x v="4"/>
    <x v="1"/>
  </r>
  <r>
    <x v="13"/>
    <x v="0"/>
    <x v="8"/>
    <s v="SUV"/>
    <s v="Compact SUV"/>
    <x v="0"/>
    <n v="31500"/>
    <x v="1"/>
    <x v="12"/>
    <x v="12"/>
    <s v="Jackson"/>
    <s v="m.jackson@gmail.com"/>
    <x v="0"/>
    <s v="Toyota Center"/>
    <s v="West"/>
    <x v="0"/>
    <s v="4.0L"/>
    <x v="7"/>
    <n v="40000"/>
    <n v="2017"/>
    <x v="4"/>
    <x v="4"/>
    <x v="4"/>
    <x v="1"/>
  </r>
  <r>
    <x v="14"/>
    <x v="0"/>
    <x v="6"/>
    <s v="SUV"/>
    <s v="Mid_Full-Size SUV"/>
    <x v="2"/>
    <n v="43000"/>
    <x v="2"/>
    <x v="13"/>
    <x v="13"/>
    <s v="Harris"/>
    <s v="a.harris@email.com"/>
    <x v="1"/>
    <s v="Hyundai Plus"/>
    <s v="West"/>
    <x v="0"/>
    <s v="3.8L"/>
    <x v="1"/>
    <n v="42000"/>
    <n v="2017"/>
    <x v="4"/>
    <x v="4"/>
    <x v="4"/>
    <x v="1"/>
  </r>
  <r>
    <x v="15"/>
    <x v="0"/>
    <x v="9"/>
    <s v="SUV"/>
    <s v="Compact SUV"/>
    <x v="0"/>
    <n v="35800"/>
    <x v="1"/>
    <x v="14"/>
    <x v="14"/>
    <s v="Moore"/>
    <s v="a.moore@email.com"/>
    <x v="0"/>
    <s v="Toyota Center"/>
    <s v="West"/>
    <x v="0"/>
    <s v="2.7L"/>
    <x v="2"/>
    <n v="24000"/>
    <n v="2020"/>
    <x v="5"/>
    <x v="5"/>
    <x v="5"/>
    <x v="1"/>
  </r>
  <r>
    <x v="16"/>
    <x v="0"/>
    <x v="1"/>
    <s v="Hatchback"/>
    <s v="Hybrid"/>
    <x v="1"/>
    <n v="27000"/>
    <x v="1"/>
    <x v="15"/>
    <x v="15"/>
    <s v="Anderson"/>
    <s v="n.anderson@email.com"/>
    <x v="1"/>
    <s v="Hyundai Plus"/>
    <s v="West"/>
    <x v="0"/>
    <s v="2.4L"/>
    <x v="3"/>
    <n v="31000"/>
    <n v="2019"/>
    <x v="5"/>
    <x v="5"/>
    <x v="5"/>
    <x v="1"/>
  </r>
  <r>
    <x v="17"/>
    <x v="0"/>
    <x v="6"/>
    <s v="SUV"/>
    <s v="Mid_Full-Size SUV"/>
    <x v="2"/>
    <n v="43000"/>
    <x v="2"/>
    <x v="16"/>
    <x v="16"/>
    <s v="Thomas"/>
    <s v="b.thomas@email.com"/>
    <x v="4"/>
    <s v="jeep nation"/>
    <s v="South"/>
    <x v="0"/>
    <s v="2.4L"/>
    <x v="8"/>
    <n v="34000"/>
    <n v="2018"/>
    <x v="5"/>
    <x v="5"/>
    <x v="5"/>
    <x v="1"/>
  </r>
  <r>
    <x v="18"/>
    <x v="0"/>
    <x v="6"/>
    <s v="SUV"/>
    <s v="Mid_Full-Size SUV"/>
    <x v="2"/>
    <n v="43000"/>
    <x v="2"/>
    <x v="17"/>
    <x v="17"/>
    <s v="Martin"/>
    <s v="g.martin@email.com"/>
    <x v="2"/>
    <s v="metro honda"/>
    <s v="Northeast"/>
    <x v="0"/>
    <s v="1.5L"/>
    <x v="3"/>
    <n v="21000"/>
    <n v="2021"/>
    <x v="5"/>
    <x v="5"/>
    <x v="5"/>
    <x v="1"/>
  </r>
  <r>
    <x v="19"/>
    <x v="0"/>
    <x v="10"/>
    <s v="Sedan"/>
    <s v="Subcompact_Compact Car"/>
    <x v="0"/>
    <n v="18500"/>
    <x v="0"/>
    <x v="18"/>
    <x v="18"/>
    <s v="Thompson"/>
    <s v="c.thompson@email.com"/>
    <x v="0"/>
    <s v="Toyota Center"/>
    <s v="West"/>
    <x v="0"/>
    <s v="1.5L"/>
    <x v="4"/>
    <n v="18000"/>
    <n v="2022"/>
    <x v="5"/>
    <x v="5"/>
    <x v="5"/>
    <x v="1"/>
  </r>
  <r>
    <x v="20"/>
    <x v="0"/>
    <x v="11"/>
    <s v="SUV"/>
    <s v="Compact SUV"/>
    <x v="0"/>
    <n v="26500"/>
    <x v="1"/>
    <x v="19"/>
    <x v="19"/>
    <s v="Jackson"/>
    <s v="a.jackson2@gmail.com"/>
    <x v="0"/>
    <s v="Toyota Center"/>
    <s v="West"/>
    <x v="0"/>
    <s v="2.0L"/>
    <x v="1"/>
    <n v="18000"/>
    <n v="2022"/>
    <x v="6"/>
    <x v="6"/>
    <x v="6"/>
    <x v="2"/>
  </r>
  <r>
    <x v="21"/>
    <x v="0"/>
    <x v="2"/>
    <s v="Sedan"/>
    <s v="Mid_Full-Size Car"/>
    <x v="0"/>
    <n v="28000"/>
    <x v="1"/>
    <x v="20"/>
    <x v="20"/>
    <s v="Harris"/>
    <s v="b.harris@email.com"/>
    <x v="1"/>
    <s v="Hyundai Plus"/>
    <s v="West"/>
    <x v="0"/>
    <s v="2.0L"/>
    <x v="3"/>
    <n v="15000"/>
    <n v="2022"/>
    <x v="6"/>
    <x v="6"/>
    <x v="6"/>
    <x v="2"/>
  </r>
  <r>
    <x v="22"/>
    <x v="0"/>
    <x v="5"/>
    <s v="SUV"/>
    <s v="Mid_Full-Size SUV"/>
    <x v="0"/>
    <n v="32000"/>
    <x v="1"/>
    <x v="21"/>
    <x v="21"/>
    <s v="Lee"/>
    <s v="r.lee2@gmail.com"/>
    <x v="6"/>
    <s v="Tesla Direct"/>
    <s v="West"/>
    <x v="3"/>
    <s v="UNKNOWN"/>
    <x v="2"/>
    <n v="2500"/>
    <n v="2024"/>
    <x v="6"/>
    <x v="6"/>
    <x v="6"/>
    <x v="2"/>
  </r>
  <r>
    <x v="23"/>
    <x v="0"/>
    <x v="1"/>
    <s v="Hatchback"/>
    <s v="Hybrid"/>
    <x v="1"/>
    <n v="27000"/>
    <x v="1"/>
    <x v="22"/>
    <x v="22"/>
    <s v="Wilson"/>
    <s v="s.wilson@email.com"/>
    <x v="2"/>
    <s v="metro honda"/>
    <s v="Northeast"/>
    <x v="1"/>
    <s v="1.5L"/>
    <x v="0"/>
    <n v="11000"/>
    <n v="2023"/>
    <x v="6"/>
    <x v="6"/>
    <x v="6"/>
    <x v="2"/>
  </r>
  <r>
    <x v="24"/>
    <x v="0"/>
    <x v="7"/>
    <s v="Sedan"/>
    <s v="Full-Size Car"/>
    <x v="0"/>
    <n v="58500"/>
    <x v="2"/>
    <x v="23"/>
    <x v="23"/>
    <s v="Moore"/>
    <s v="c.moore@email.com"/>
    <x v="0"/>
    <s v="Toyota Center"/>
    <s v="West"/>
    <x v="2"/>
    <s v="UNKNOWN"/>
    <x v="3"/>
    <n v="5000"/>
    <n v="2024"/>
    <x v="6"/>
    <x v="6"/>
    <x v="6"/>
    <x v="2"/>
  </r>
  <r>
    <x v="25"/>
    <x v="0"/>
    <x v="5"/>
    <s v="SUV"/>
    <s v="Mid_Full-Size SUV"/>
    <x v="0"/>
    <n v="32000"/>
    <x v="1"/>
    <x v="24"/>
    <x v="24"/>
    <s v="Thomas"/>
    <s v="d.thomas2@email.com"/>
    <x v="4"/>
    <s v="jeep nation"/>
    <s v="South"/>
    <x v="1"/>
    <s v="2.0L"/>
    <x v="1"/>
    <n v="6000"/>
    <n v="2024"/>
    <x v="6"/>
    <x v="6"/>
    <x v="6"/>
    <x v="2"/>
  </r>
  <r>
    <x v="26"/>
    <x v="0"/>
    <x v="6"/>
    <s v="SUV"/>
    <s v="Mid_Full-Size SUV"/>
    <x v="2"/>
    <n v="43000"/>
    <x v="2"/>
    <x v="25"/>
    <x v="25"/>
    <s v="Thompson"/>
    <s v="j.thompson3@email.com"/>
    <x v="0"/>
    <s v="Toyota Center"/>
    <s v="West"/>
    <x v="3"/>
    <s v="UNKNOWN"/>
    <x v="3"/>
    <n v="4500"/>
    <n v="2024"/>
    <x v="7"/>
    <x v="7"/>
    <x v="7"/>
    <x v="2"/>
  </r>
  <r>
    <x v="27"/>
    <x v="0"/>
    <x v="2"/>
    <s v="Sedan"/>
    <s v="Mid_Full-Size Car"/>
    <x v="0"/>
    <n v="28000"/>
    <x v="1"/>
    <x v="26"/>
    <x v="26"/>
    <s v="Garcia"/>
    <s v="c.garcia2@email.com"/>
    <x v="7"/>
    <s v="Nissan Direct"/>
    <s v="South"/>
    <x v="3"/>
    <s v="UNKNOWN"/>
    <x v="1"/>
    <n v="3500"/>
    <n v="2024"/>
    <x v="7"/>
    <x v="7"/>
    <x v="7"/>
    <x v="2"/>
  </r>
  <r>
    <x v="28"/>
    <x v="0"/>
    <x v="7"/>
    <s v="Sedan"/>
    <s v="Full-Size Car"/>
    <x v="0"/>
    <n v="58500"/>
    <x v="2"/>
    <x v="27"/>
    <x v="27"/>
    <s v="Jackson"/>
    <s v="s.jackson2@gmail.com"/>
    <x v="0"/>
    <s v="Toyota Center"/>
    <s v="West"/>
    <x v="2"/>
    <s v="UNKNOWN"/>
    <x v="7"/>
    <n v="6000"/>
    <n v="2023"/>
    <x v="7"/>
    <x v="7"/>
    <x v="7"/>
    <x v="2"/>
  </r>
  <r>
    <x v="29"/>
    <x v="0"/>
    <x v="2"/>
    <s v="Sedan"/>
    <s v="Mid_Full-Size Car"/>
    <x v="0"/>
    <n v="28000"/>
    <x v="1"/>
    <x v="28"/>
    <x v="28"/>
    <s v="White"/>
    <s v="p.white@email.com"/>
    <x v="7"/>
    <s v="Nissan Direct"/>
    <s v="South"/>
    <x v="0"/>
    <s v="3.0L"/>
    <x v="2"/>
    <n v="4000"/>
    <n v="2024"/>
    <x v="7"/>
    <x v="7"/>
    <x v="7"/>
    <x v="2"/>
  </r>
  <r>
    <x v="30"/>
    <x v="0"/>
    <x v="6"/>
    <s v="SUV"/>
    <s v="Mid_Full-Size SUV"/>
    <x v="2"/>
    <n v="43000"/>
    <x v="2"/>
    <x v="29"/>
    <x v="29"/>
    <s v="Martin"/>
    <s v="h.martin@gmail.com"/>
    <x v="4"/>
    <s v="jeep nation"/>
    <s v="South"/>
    <x v="0"/>
    <s v="5.7L"/>
    <x v="1"/>
    <n v="8000"/>
    <n v="2023"/>
    <x v="7"/>
    <x v="7"/>
    <x v="7"/>
    <x v="2"/>
  </r>
  <r>
    <x v="31"/>
    <x v="0"/>
    <x v="7"/>
    <s v="Sedan"/>
    <s v="Full-Size Car"/>
    <x v="0"/>
    <n v="58500"/>
    <x v="2"/>
    <x v="30"/>
    <x v="30"/>
    <s v="Moore"/>
    <s v="b.moore@email.com"/>
    <x v="0"/>
    <s v="Toyota Center"/>
    <s v="West"/>
    <x v="2"/>
    <s v="UNKNOWN"/>
    <x v="3"/>
    <n v="3000"/>
    <n v="2024"/>
    <x v="8"/>
    <x v="8"/>
    <x v="8"/>
    <x v="2"/>
  </r>
  <r>
    <x v="32"/>
    <x v="0"/>
    <x v="5"/>
    <s v="SUV"/>
    <s v="Mid_Full-Size SUV"/>
    <x v="0"/>
    <n v="32000"/>
    <x v="1"/>
    <x v="31"/>
    <x v="31"/>
    <s v="Anderson"/>
    <s v="p.anderson2@email.com"/>
    <x v="1"/>
    <s v="Hyundai Plus"/>
    <s v="West"/>
    <x v="0"/>
    <s v="3.3L"/>
    <x v="2"/>
    <n v="3500"/>
    <n v="2024"/>
    <x v="8"/>
    <x v="8"/>
    <x v="8"/>
    <x v="2"/>
  </r>
  <r>
    <x v="33"/>
    <x v="0"/>
    <x v="2"/>
    <s v="Sedan"/>
    <s v="Mid_Full-Size Car"/>
    <x v="0"/>
    <n v="28000"/>
    <x v="1"/>
    <x v="32"/>
    <x v="32"/>
    <s v="Thomas"/>
    <s v="b.thomas2@email.com"/>
    <x v="4"/>
    <s v="jeep nation"/>
    <s v="South"/>
    <x v="0"/>
    <s v="6.4L"/>
    <x v="6"/>
    <n v="5000"/>
    <n v="2024"/>
    <x v="8"/>
    <x v="8"/>
    <x v="8"/>
    <x v="2"/>
  </r>
  <r>
    <x v="34"/>
    <x v="1"/>
    <x v="12"/>
    <s v="Sedan"/>
    <s v="Subcompact_Compact Car"/>
    <x v="0"/>
    <n v="24500"/>
    <x v="0"/>
    <x v="33"/>
    <x v="33"/>
    <s v="Smith"/>
    <s v="john.smith@email.com"/>
    <x v="2"/>
    <s v="metro honda"/>
    <s v="Northeast"/>
    <x v="0"/>
    <s v="1.5L"/>
    <x v="3"/>
    <n v="15000"/>
    <n v="2021"/>
    <x v="0"/>
    <x v="0"/>
    <x v="0"/>
    <x v="0"/>
  </r>
  <r>
    <x v="35"/>
    <x v="2"/>
    <x v="13"/>
    <s v="Sedan"/>
    <s v="Full-Size Car"/>
    <x v="0"/>
    <n v="26800"/>
    <x v="1"/>
    <x v="34"/>
    <x v="34"/>
    <s v="Davis"/>
    <s v="m.davis@yahoo.com"/>
    <x v="8"/>
    <s v="UNKNOWN"/>
    <s v="Northeast"/>
    <x v="0"/>
    <s v="2.5L"/>
    <x v="2"/>
    <n v="22000"/>
    <n v="2020"/>
    <x v="1"/>
    <x v="1"/>
    <x v="1"/>
    <x v="0"/>
  </r>
  <r>
    <x v="36"/>
    <x v="3"/>
    <x v="14"/>
    <s v="Sedan"/>
    <s v="Subcompact_Compact Car"/>
    <x v="0"/>
    <n v="22900"/>
    <x v="0"/>
    <x v="35"/>
    <x v="35"/>
    <s v="Chen"/>
    <s v="lisa.chen@outlook.com"/>
    <x v="1"/>
    <s v="Hyundai Plus"/>
    <s v="West"/>
    <x v="0"/>
    <s v="2.0L"/>
    <x v="4"/>
    <n v="12000"/>
    <n v="2022"/>
    <x v="1"/>
    <x v="1"/>
    <x v="1"/>
    <x v="0"/>
  </r>
  <r>
    <x v="37"/>
    <x v="4"/>
    <x v="15"/>
    <s v="SUV"/>
    <s v="Compact SUV"/>
    <x v="0"/>
    <n v="38900"/>
    <x v="1"/>
    <x v="36"/>
    <x v="19"/>
    <s v="Taylor"/>
    <s v="a.taylor@gmail.com"/>
    <x v="4"/>
    <s v="jeep nation"/>
    <s v="South"/>
    <x v="0"/>
    <s v="3.6L"/>
    <x v="6"/>
    <n v="35000"/>
    <n v="2020"/>
    <x v="1"/>
    <x v="1"/>
    <x v="1"/>
    <x v="0"/>
  </r>
  <r>
    <x v="38"/>
    <x v="5"/>
    <x v="16"/>
    <s v="Sedan"/>
    <s v="Full-Size Car"/>
    <x v="2"/>
    <n v="89500"/>
    <x v="3"/>
    <x v="37"/>
    <x v="36"/>
    <s v="Rodriguez"/>
    <s v="mrodriguez@email.com"/>
    <x v="6"/>
    <s v="Tesla Direct"/>
    <s v="West"/>
    <x v="3"/>
    <s v="UNKNOWN"/>
    <x v="4"/>
    <n v="8000"/>
    <n v="2023"/>
    <x v="2"/>
    <x v="2"/>
    <x v="2"/>
    <x v="0"/>
  </r>
  <r>
    <x v="39"/>
    <x v="2"/>
    <x v="13"/>
    <s v="Sedan"/>
    <s v="Full-Size Car"/>
    <x v="0"/>
    <n v="27500"/>
    <x v="1"/>
    <x v="38"/>
    <x v="37"/>
    <s v="Thomas"/>
    <s v="mthomas@email.com"/>
    <x v="7"/>
    <s v="Nissan Direct"/>
    <s v="South"/>
    <x v="0"/>
    <s v="2.5L"/>
    <x v="9"/>
    <n v="26000"/>
    <n v="2020"/>
    <x v="2"/>
    <x v="2"/>
    <x v="2"/>
    <x v="0"/>
  </r>
  <r>
    <x v="40"/>
    <x v="4"/>
    <x v="15"/>
    <s v="SUV"/>
    <s v="Compact SUV"/>
    <x v="0"/>
    <n v="41200"/>
    <x v="2"/>
    <x v="39"/>
    <x v="38"/>
    <s v="White"/>
    <s v="e.white@email.com"/>
    <x v="4"/>
    <s v="jeep nation"/>
    <s v="South"/>
    <x v="0"/>
    <s v="3.6L"/>
    <x v="1"/>
    <n v="29000"/>
    <n v="2020"/>
    <x v="2"/>
    <x v="2"/>
    <x v="2"/>
    <x v="0"/>
  </r>
  <r>
    <x v="41"/>
    <x v="3"/>
    <x v="17"/>
    <s v="Sedan"/>
    <s v="Subcompact_Compact Car"/>
    <x v="0"/>
    <n v="18900"/>
    <x v="0"/>
    <x v="40"/>
    <x v="39"/>
    <s v="Garcia"/>
    <s v="b.garcia@email.com"/>
    <x v="1"/>
    <s v="Hyundai Plus"/>
    <s v="West"/>
    <x v="0"/>
    <s v="1.6L"/>
    <x v="4"/>
    <n v="14000"/>
    <n v="2022"/>
    <x v="3"/>
    <x v="3"/>
    <x v="3"/>
    <x v="1"/>
  </r>
  <r>
    <x v="42"/>
    <x v="6"/>
    <x v="18"/>
    <s v="Sedan"/>
    <s v="Full-Size Car"/>
    <x v="2"/>
    <n v="89900"/>
    <x v="3"/>
    <x v="41"/>
    <x v="40"/>
    <s v="Wilson"/>
    <s v="k.wilson@email.com"/>
    <x v="9"/>
    <s v="BMW Elite"/>
    <s v="Northeast"/>
    <x v="0"/>
    <s v="3.0L"/>
    <x v="6"/>
    <n v="26000"/>
    <n v="2020"/>
    <x v="3"/>
    <x v="3"/>
    <x v="3"/>
    <x v="1"/>
  </r>
  <r>
    <x v="43"/>
    <x v="2"/>
    <x v="19"/>
    <s v="SUV"/>
    <s v="Compact SUV"/>
    <x v="0"/>
    <n v="51200"/>
    <x v="2"/>
    <x v="42"/>
    <x v="41"/>
    <s v="Thomas"/>
    <s v="t.thomas@email.com"/>
    <x v="7"/>
    <s v="Nissan Direct"/>
    <s v="South"/>
    <x v="0"/>
    <s v="5.6L"/>
    <x v="3"/>
    <n v="30000"/>
    <n v="2020"/>
    <x v="3"/>
    <x v="3"/>
    <x v="3"/>
    <x v="1"/>
  </r>
  <r>
    <x v="44"/>
    <x v="7"/>
    <x v="20"/>
    <s v="SUV"/>
    <s v="Compact SUV"/>
    <x v="0"/>
    <n v="38900"/>
    <x v="1"/>
    <x v="43"/>
    <x v="42"/>
    <s v="White"/>
    <s v="g.white@email.com"/>
    <x v="3"/>
    <s v="Ford Country"/>
    <s v="Midwest"/>
    <x v="0"/>
    <s v="2.3L"/>
    <x v="8"/>
    <n v="9000"/>
    <n v="2023"/>
    <x v="3"/>
    <x v="3"/>
    <x v="3"/>
    <x v="1"/>
  </r>
  <r>
    <x v="45"/>
    <x v="6"/>
    <x v="21"/>
    <s v="Coupe"/>
    <s v="Luxury Coupe"/>
    <x v="2"/>
    <n v="99900"/>
    <x v="4"/>
    <x v="44"/>
    <x v="43"/>
    <s v="Martin"/>
    <s v="p.martin2@email.com"/>
    <x v="9"/>
    <s v="BMW Elite"/>
    <s v="Northeast"/>
    <x v="0"/>
    <s v="3.0L"/>
    <x v="3"/>
    <n v="18000"/>
    <n v="2022"/>
    <x v="3"/>
    <x v="3"/>
    <x v="3"/>
    <x v="1"/>
  </r>
  <r>
    <x v="46"/>
    <x v="4"/>
    <x v="22"/>
    <s v="SUV"/>
    <s v="Compact SUV"/>
    <x v="0"/>
    <n v="22900"/>
    <x v="0"/>
    <x v="45"/>
    <x v="44"/>
    <s v="Martin"/>
    <s v="m.martin@gmail.com"/>
    <x v="4"/>
    <s v="jeep nation"/>
    <s v="South"/>
    <x v="0"/>
    <s v="3.7L"/>
    <x v="2"/>
    <n v="45000"/>
    <n v="2016"/>
    <x v="4"/>
    <x v="4"/>
    <x v="4"/>
    <x v="1"/>
  </r>
  <r>
    <x v="47"/>
    <x v="8"/>
    <x v="23"/>
    <s v="SUV"/>
    <s v="Compact SUV"/>
    <x v="0"/>
    <n v="35200"/>
    <x v="1"/>
    <x v="46"/>
    <x v="45"/>
    <s v="White"/>
    <s v="z.white@email.com"/>
    <x v="5"/>
    <s v="Chevy World"/>
    <s v="Midwest"/>
    <x v="0"/>
    <s v="2.5L"/>
    <x v="1"/>
    <n v="25000"/>
    <n v="2020"/>
    <x v="5"/>
    <x v="5"/>
    <x v="5"/>
    <x v="1"/>
  </r>
  <r>
    <x v="48"/>
    <x v="7"/>
    <x v="24"/>
    <s v="SUV"/>
    <s v="Compact SUV"/>
    <x v="0"/>
    <n v="22900"/>
    <x v="0"/>
    <x v="47"/>
    <x v="46"/>
    <s v="Moore"/>
    <s v="m.moore2@email.com"/>
    <x v="3"/>
    <s v="Ford Country"/>
    <s v="Midwest"/>
    <x v="0"/>
    <s v="1.0L"/>
    <x v="0"/>
    <n v="19000"/>
    <n v="2021"/>
    <x v="5"/>
    <x v="5"/>
    <x v="5"/>
    <x v="1"/>
  </r>
  <r>
    <x v="49"/>
    <x v="4"/>
    <x v="25"/>
    <s v="SUV"/>
    <s v="Compact SUV"/>
    <x v="0"/>
    <n v="27900"/>
    <x v="1"/>
    <x v="48"/>
    <x v="47"/>
    <s v="Martin"/>
    <s v="t.martin@gmail.com"/>
    <x v="4"/>
    <s v="jeep nation"/>
    <s v="South"/>
    <x v="0"/>
    <s v="1.3L"/>
    <x v="2"/>
    <n v="13000"/>
    <n v="2023"/>
    <x v="6"/>
    <x v="6"/>
    <x v="6"/>
    <x v="2"/>
  </r>
  <r>
    <x v="50"/>
    <x v="8"/>
    <x v="26"/>
    <s v="Sedan"/>
    <s v="Full-Size Car"/>
    <x v="0"/>
    <n v="26900"/>
    <x v="1"/>
    <x v="49"/>
    <x v="48"/>
    <s v="White"/>
    <s v="m.white@email.com"/>
    <x v="5"/>
    <s v="Chevy World"/>
    <s v="Midwest"/>
    <x v="3"/>
    <s v="UNKNOWN"/>
    <x v="4"/>
    <n v="8000"/>
    <n v="2023"/>
    <x v="6"/>
    <x v="6"/>
    <x v="6"/>
    <x v="2"/>
  </r>
  <r>
    <x v="51"/>
    <x v="3"/>
    <x v="27"/>
    <s v="Sedan"/>
    <s v="Full-Size Car"/>
    <x v="0"/>
    <n v="34500"/>
    <x v="1"/>
    <x v="50"/>
    <x v="49"/>
    <s v="Harris"/>
    <s v="s.harris3@email.com"/>
    <x v="1"/>
    <s v="Hyundai Plus"/>
    <s v="West"/>
    <x v="0"/>
    <s v="2.0L"/>
    <x v="4"/>
    <n v="5000"/>
    <n v="2024"/>
    <x v="7"/>
    <x v="7"/>
    <x v="7"/>
    <x v="2"/>
  </r>
  <r>
    <x v="52"/>
    <x v="7"/>
    <x v="28"/>
    <s v="SUV"/>
    <s v="Compact SUV"/>
    <x v="0"/>
    <n v="29800"/>
    <x v="1"/>
    <x v="51"/>
    <x v="50"/>
    <s v="Thompson"/>
    <s v="d.thompson2@email.com"/>
    <x v="3"/>
    <s v="Ford Country"/>
    <s v="Midwest"/>
    <x v="0"/>
    <s v="1.5L"/>
    <x v="8"/>
    <n v="9000"/>
    <n v="2023"/>
    <x v="7"/>
    <x v="7"/>
    <x v="7"/>
    <x v="2"/>
  </r>
  <r>
    <x v="53"/>
    <x v="6"/>
    <x v="29"/>
    <s v="Sedan"/>
    <s v="Full-Size Car"/>
    <x v="2"/>
    <n v="69900"/>
    <x v="3"/>
    <x v="52"/>
    <x v="51"/>
    <s v="Lee"/>
    <s v="a.lee@gmail.com"/>
    <x v="9"/>
    <s v="BMW Elite"/>
    <s v="Northeast"/>
    <x v="0"/>
    <s v="3.0L"/>
    <x v="0"/>
    <n v="6000"/>
    <n v="2023"/>
    <x v="8"/>
    <x v="8"/>
    <x v="8"/>
    <x v="2"/>
  </r>
  <r>
    <x v="54"/>
    <x v="2"/>
    <x v="30"/>
    <s v="Coupe"/>
    <s v="Other"/>
    <x v="0"/>
    <n v="115900"/>
    <x v="4"/>
    <x v="53"/>
    <x v="52"/>
    <s v="Taylor"/>
    <s v="e.taylor@gmail.com"/>
    <x v="7"/>
    <s v="Nissan Direct"/>
    <s v="South"/>
    <x v="0"/>
    <s v="3.8L"/>
    <x v="1"/>
    <n v="2500"/>
    <n v="2024"/>
    <x v="8"/>
    <x v="8"/>
    <x v="8"/>
    <x v="2"/>
  </r>
  <r>
    <x v="55"/>
    <x v="4"/>
    <x v="15"/>
    <s v="SUV"/>
    <s v="Compact SUV"/>
    <x v="0"/>
    <n v="41200"/>
    <x v="2"/>
    <x v="39"/>
    <x v="38"/>
    <s v="White"/>
    <s v="e.white@email.com"/>
    <x v="4"/>
    <s v="jeep nation"/>
    <s v="South"/>
    <x v="0"/>
    <s v="3.6L"/>
    <x v="1"/>
    <n v="29000"/>
    <n v="2020"/>
    <x v="2"/>
    <x v="2"/>
    <x v="2"/>
    <x v="0"/>
  </r>
  <r>
    <x v="56"/>
    <x v="7"/>
    <x v="24"/>
    <s v="SUV"/>
    <s v="Compact SUV"/>
    <x v="0"/>
    <n v="22900"/>
    <x v="0"/>
    <x v="47"/>
    <x v="46"/>
    <s v="Moore"/>
    <s v="m.moore2@email.com"/>
    <x v="3"/>
    <s v="Ford Country"/>
    <s v="Midwest"/>
    <x v="0"/>
    <s v="1.0L"/>
    <x v="0"/>
    <n v="19000"/>
    <n v="2021"/>
    <x v="5"/>
    <x v="5"/>
    <x v="5"/>
    <x v="1"/>
  </r>
  <r>
    <x v="57"/>
    <x v="2"/>
    <x v="19"/>
    <s v="SUV"/>
    <s v="Compact SUV"/>
    <x v="0"/>
    <n v="51200"/>
    <x v="2"/>
    <x v="42"/>
    <x v="41"/>
    <s v="Thomas"/>
    <s v="t.thomas@email.com"/>
    <x v="7"/>
    <s v="Nissan Direct"/>
    <s v="South"/>
    <x v="0"/>
    <s v="5.6L"/>
    <x v="3"/>
    <n v="30000"/>
    <n v="2020"/>
    <x v="3"/>
    <x v="3"/>
    <x v="3"/>
    <x v="1"/>
  </r>
  <r>
    <x v="58"/>
    <x v="4"/>
    <x v="25"/>
    <s v="SUV"/>
    <s v="Compact SUV"/>
    <x v="0"/>
    <n v="27900"/>
    <x v="1"/>
    <x v="48"/>
    <x v="47"/>
    <s v="Martin"/>
    <s v="t.martin@gmail.com"/>
    <x v="4"/>
    <s v="jeep nation"/>
    <s v="South"/>
    <x v="0"/>
    <s v="1.3L"/>
    <x v="2"/>
    <n v="13000"/>
    <n v="2023"/>
    <x v="6"/>
    <x v="6"/>
    <x v="6"/>
    <x v="2"/>
  </r>
  <r>
    <x v="59"/>
    <x v="4"/>
    <x v="15"/>
    <s v="SUV"/>
    <s v="Compact SUV"/>
    <x v="0"/>
    <n v="41200"/>
    <x v="2"/>
    <x v="39"/>
    <x v="38"/>
    <s v="White"/>
    <s v="e.white@email.com"/>
    <x v="4"/>
    <s v="jeep nation"/>
    <s v="South"/>
    <x v="0"/>
    <s v="3.6L"/>
    <x v="1"/>
    <n v="29000"/>
    <n v="2020"/>
    <x v="2"/>
    <x v="2"/>
    <x v="2"/>
    <x v="0"/>
  </r>
  <r>
    <x v="60"/>
    <x v="2"/>
    <x v="30"/>
    <s v="Coupe"/>
    <s v="Other"/>
    <x v="0"/>
    <n v="115900"/>
    <x v="4"/>
    <x v="53"/>
    <x v="52"/>
    <s v="Taylor"/>
    <s v="e.taylor@gmail.com"/>
    <x v="7"/>
    <s v="Nissan Direct"/>
    <s v="South"/>
    <x v="0"/>
    <s v="3.8L"/>
    <x v="1"/>
    <n v="2500"/>
    <n v="2024"/>
    <x v="8"/>
    <x v="8"/>
    <x v="8"/>
    <x v="2"/>
  </r>
  <r>
    <x v="61"/>
    <x v="8"/>
    <x v="23"/>
    <s v="SUV"/>
    <s v="Compact SUV"/>
    <x v="0"/>
    <n v="35200"/>
    <x v="1"/>
    <x v="46"/>
    <x v="45"/>
    <s v="White"/>
    <s v="z.white@email.com"/>
    <x v="5"/>
    <s v="Chevy World"/>
    <s v="Midwest"/>
    <x v="0"/>
    <s v="2.5L"/>
    <x v="1"/>
    <n v="25000"/>
    <n v="2020"/>
    <x v="5"/>
    <x v="5"/>
    <x v="5"/>
    <x v="1"/>
  </r>
  <r>
    <x v="62"/>
    <x v="3"/>
    <x v="27"/>
    <s v="Sedan"/>
    <s v="Full-Size Car"/>
    <x v="0"/>
    <n v="34500"/>
    <x v="1"/>
    <x v="50"/>
    <x v="49"/>
    <s v="Harris"/>
    <s v="s.harris3@email.com"/>
    <x v="1"/>
    <s v="Hyundai Plus"/>
    <s v="West"/>
    <x v="0"/>
    <s v="2.0L"/>
    <x v="4"/>
    <n v="5000"/>
    <n v="2024"/>
    <x v="7"/>
    <x v="7"/>
    <x v="7"/>
    <x v="2"/>
  </r>
  <r>
    <x v="63"/>
    <x v="7"/>
    <x v="28"/>
    <s v="SUV"/>
    <s v="Compact SUV"/>
    <x v="0"/>
    <n v="29800"/>
    <x v="1"/>
    <x v="51"/>
    <x v="50"/>
    <s v="Thompson"/>
    <s v="d.thompson2@email.com"/>
    <x v="3"/>
    <s v="Ford Country"/>
    <s v="Midwest"/>
    <x v="0"/>
    <s v="1.5L"/>
    <x v="8"/>
    <n v="9000"/>
    <n v="2023"/>
    <x v="7"/>
    <x v="7"/>
    <x v="7"/>
    <x v="2"/>
  </r>
  <r>
    <x v="64"/>
    <x v="4"/>
    <x v="25"/>
    <s v="SUV"/>
    <s v="Compact SUV"/>
    <x v="0"/>
    <n v="27900"/>
    <x v="1"/>
    <x v="48"/>
    <x v="47"/>
    <s v="Martin"/>
    <s v="t.martin@gmail.com"/>
    <x v="4"/>
    <s v="jeep nation"/>
    <s v="South"/>
    <x v="0"/>
    <s v="1.3L"/>
    <x v="2"/>
    <n v="13000"/>
    <n v="2023"/>
    <x v="6"/>
    <x v="6"/>
    <x v="6"/>
    <x v="2"/>
  </r>
  <r>
    <x v="65"/>
    <x v="4"/>
    <x v="15"/>
    <s v="SUV"/>
    <s v="Compact SUV"/>
    <x v="0"/>
    <n v="38900"/>
    <x v="1"/>
    <x v="36"/>
    <x v="19"/>
    <s v="Taylor"/>
    <s v="a.taylor@gmail.com"/>
    <x v="4"/>
    <s v="jeep nation"/>
    <s v="South"/>
    <x v="0"/>
    <s v="3.6L"/>
    <x v="6"/>
    <n v="35000"/>
    <n v="2020"/>
    <x v="1"/>
    <x v="1"/>
    <x v="1"/>
    <x v="0"/>
  </r>
  <r>
    <x v="66"/>
    <x v="7"/>
    <x v="28"/>
    <s v="SUV"/>
    <s v="Compact SUV"/>
    <x v="0"/>
    <n v="29800"/>
    <x v="1"/>
    <x v="51"/>
    <x v="50"/>
    <s v="Thompson"/>
    <s v="d.thompson2@email.com"/>
    <x v="3"/>
    <s v="Ford Country"/>
    <s v="Midwest"/>
    <x v="0"/>
    <s v="1.5L"/>
    <x v="8"/>
    <n v="9000"/>
    <n v="2023"/>
    <x v="7"/>
    <x v="7"/>
    <x v="7"/>
    <x v="2"/>
  </r>
  <r>
    <x v="67"/>
    <x v="3"/>
    <x v="14"/>
    <s v="Sedan"/>
    <s v="Subcompact_Compact Car"/>
    <x v="0"/>
    <n v="22900"/>
    <x v="0"/>
    <x v="35"/>
    <x v="35"/>
    <s v="Chen"/>
    <s v="lisa.chen@outlook.com"/>
    <x v="1"/>
    <s v="Hyundai Plus"/>
    <s v="West"/>
    <x v="0"/>
    <s v="2.0L"/>
    <x v="4"/>
    <n v="12000"/>
    <n v="2022"/>
    <x v="1"/>
    <x v="1"/>
    <x v="1"/>
    <x v="0"/>
  </r>
  <r>
    <x v="68"/>
    <x v="8"/>
    <x v="26"/>
    <s v="Sedan"/>
    <s v="Full-Size Car"/>
    <x v="0"/>
    <n v="26900"/>
    <x v="1"/>
    <x v="49"/>
    <x v="48"/>
    <s v="White"/>
    <s v="m.white@email.com"/>
    <x v="5"/>
    <s v="Chevy World"/>
    <s v="Midwest"/>
    <x v="3"/>
    <s v="UNKNOWN"/>
    <x v="4"/>
    <n v="8000"/>
    <n v="2023"/>
    <x v="6"/>
    <x v="6"/>
    <x v="6"/>
    <x v="2"/>
  </r>
  <r>
    <x v="69"/>
    <x v="4"/>
    <x v="25"/>
    <s v="SUV"/>
    <s v="Compact SUV"/>
    <x v="0"/>
    <n v="27900"/>
    <x v="1"/>
    <x v="48"/>
    <x v="47"/>
    <s v="Martin"/>
    <s v="t.martin@gmail.com"/>
    <x v="4"/>
    <s v="jeep nation"/>
    <s v="South"/>
    <x v="0"/>
    <s v="1.3L"/>
    <x v="2"/>
    <n v="13000"/>
    <n v="2023"/>
    <x v="6"/>
    <x v="6"/>
    <x v="6"/>
    <x v="2"/>
  </r>
  <r>
    <x v="70"/>
    <x v="2"/>
    <x v="13"/>
    <s v="Sedan"/>
    <s v="Full-Size Car"/>
    <x v="0"/>
    <n v="26800"/>
    <x v="1"/>
    <x v="34"/>
    <x v="34"/>
    <s v="Davis"/>
    <s v="m.davis@yahoo.com"/>
    <x v="8"/>
    <s v="UNKNOWN"/>
    <s v="Northeast"/>
    <x v="0"/>
    <s v="2.5L"/>
    <x v="2"/>
    <n v="22000"/>
    <n v="2020"/>
    <x v="1"/>
    <x v="1"/>
    <x v="1"/>
    <x v="0"/>
  </r>
  <r>
    <x v="71"/>
    <x v="7"/>
    <x v="28"/>
    <s v="SUV"/>
    <s v="Compact SUV"/>
    <x v="0"/>
    <n v="29800"/>
    <x v="1"/>
    <x v="51"/>
    <x v="50"/>
    <s v="Thompson"/>
    <s v="d.thompson2@email.com"/>
    <x v="3"/>
    <s v="Ford Country"/>
    <s v="Midwest"/>
    <x v="0"/>
    <s v="1.5L"/>
    <x v="8"/>
    <n v="9000"/>
    <n v="2023"/>
    <x v="7"/>
    <x v="7"/>
    <x v="7"/>
    <x v="2"/>
  </r>
  <r>
    <x v="72"/>
    <x v="2"/>
    <x v="13"/>
    <s v="Sedan"/>
    <s v="Full-Size Car"/>
    <x v="0"/>
    <n v="27500"/>
    <x v="1"/>
    <x v="38"/>
    <x v="37"/>
    <s v="Thomas"/>
    <s v="mthomas@email.com"/>
    <x v="7"/>
    <s v="Nissan Direct"/>
    <s v="South"/>
    <x v="0"/>
    <s v="2.5L"/>
    <x v="9"/>
    <n v="26000"/>
    <n v="2020"/>
    <x v="2"/>
    <x v="2"/>
    <x v="2"/>
    <x v="0"/>
  </r>
  <r>
    <x v="73"/>
    <x v="2"/>
    <x v="13"/>
    <s v="Sedan"/>
    <s v="Full-Size Car"/>
    <x v="0"/>
    <n v="26800"/>
    <x v="1"/>
    <x v="34"/>
    <x v="34"/>
    <s v="Davis"/>
    <s v="m.davis@yahoo.com"/>
    <x v="8"/>
    <s v="UNKNOWN"/>
    <s v="Northeast"/>
    <x v="0"/>
    <s v="2.5L"/>
    <x v="2"/>
    <n v="22000"/>
    <n v="2020"/>
    <x v="1"/>
    <x v="1"/>
    <x v="1"/>
    <x v="0"/>
  </r>
  <r>
    <x v="74"/>
    <x v="4"/>
    <x v="25"/>
    <s v="SUV"/>
    <s v="Compact SUV"/>
    <x v="0"/>
    <n v="27900"/>
    <x v="1"/>
    <x v="48"/>
    <x v="47"/>
    <s v="Martin"/>
    <s v="t.martin@gmail.com"/>
    <x v="4"/>
    <s v="jeep nation"/>
    <s v="South"/>
    <x v="0"/>
    <s v="1.3L"/>
    <x v="2"/>
    <n v="13000"/>
    <n v="2023"/>
    <x v="6"/>
    <x v="6"/>
    <x v="6"/>
    <x v="2"/>
  </r>
  <r>
    <x v="75"/>
    <x v="1"/>
    <x v="12"/>
    <s v="Sedan"/>
    <s v="Subcompact_Compact Car"/>
    <x v="0"/>
    <n v="24500"/>
    <x v="0"/>
    <x v="33"/>
    <x v="33"/>
    <s v="Smith"/>
    <s v="john.smith@email.com"/>
    <x v="2"/>
    <s v="metro honda"/>
    <s v="Northeast"/>
    <x v="0"/>
    <s v="1.5L"/>
    <x v="3"/>
    <n v="15000"/>
    <n v="2021"/>
    <x v="0"/>
    <x v="0"/>
    <x v="0"/>
    <x v="0"/>
  </r>
  <r>
    <x v="76"/>
    <x v="2"/>
    <x v="30"/>
    <s v="Coupe"/>
    <s v="Other"/>
    <x v="0"/>
    <n v="115900"/>
    <x v="4"/>
    <x v="53"/>
    <x v="52"/>
    <s v="Taylor"/>
    <s v="e.taylor@gmail.com"/>
    <x v="7"/>
    <s v="Nissan Direct"/>
    <s v="South"/>
    <x v="0"/>
    <s v="3.8L"/>
    <x v="1"/>
    <n v="2500"/>
    <n v="2024"/>
    <x v="8"/>
    <x v="8"/>
    <x v="8"/>
    <x v="2"/>
  </r>
  <r>
    <x v="77"/>
    <x v="8"/>
    <x v="26"/>
    <s v="Sedan"/>
    <s v="Full-Size Car"/>
    <x v="0"/>
    <n v="26900"/>
    <x v="1"/>
    <x v="49"/>
    <x v="48"/>
    <s v="White"/>
    <s v="m.white@email.com"/>
    <x v="5"/>
    <s v="Chevy World"/>
    <s v="Midwest"/>
    <x v="3"/>
    <s v="UNKNOWN"/>
    <x v="4"/>
    <n v="8000"/>
    <n v="2023"/>
    <x v="6"/>
    <x v="6"/>
    <x v="6"/>
    <x v="2"/>
  </r>
  <r>
    <x v="78"/>
    <x v="6"/>
    <x v="29"/>
    <s v="Sedan"/>
    <s v="Full-Size Car"/>
    <x v="2"/>
    <n v="69900"/>
    <x v="3"/>
    <x v="52"/>
    <x v="51"/>
    <s v="Lee"/>
    <s v="a.lee@gmail.com"/>
    <x v="9"/>
    <s v="BMW Elite"/>
    <s v="Northeast"/>
    <x v="0"/>
    <s v="3.0L"/>
    <x v="0"/>
    <n v="6000"/>
    <n v="2023"/>
    <x v="8"/>
    <x v="8"/>
    <x v="8"/>
    <x v="2"/>
  </r>
  <r>
    <x v="79"/>
    <x v="6"/>
    <x v="21"/>
    <s v="Coupe"/>
    <s v="Luxury Coupe"/>
    <x v="2"/>
    <n v="99900"/>
    <x v="4"/>
    <x v="44"/>
    <x v="43"/>
    <s v="Martin"/>
    <s v="p.martin2@email.com"/>
    <x v="9"/>
    <s v="BMW Elite"/>
    <s v="Northeast"/>
    <x v="0"/>
    <s v="3.0L"/>
    <x v="3"/>
    <n v="18000"/>
    <n v="2022"/>
    <x v="3"/>
    <x v="3"/>
    <x v="3"/>
    <x v="1"/>
  </r>
  <r>
    <x v="80"/>
    <x v="7"/>
    <x v="20"/>
    <s v="SUV"/>
    <s v="Compact SUV"/>
    <x v="0"/>
    <n v="38900"/>
    <x v="1"/>
    <x v="43"/>
    <x v="42"/>
    <s v="White"/>
    <s v="g.white@email.com"/>
    <x v="3"/>
    <s v="Ford Country"/>
    <s v="Midwest"/>
    <x v="0"/>
    <s v="2.3L"/>
    <x v="8"/>
    <n v="9000"/>
    <n v="2023"/>
    <x v="3"/>
    <x v="3"/>
    <x v="3"/>
    <x v="1"/>
  </r>
  <r>
    <x v="81"/>
    <x v="2"/>
    <x v="19"/>
    <s v="SUV"/>
    <s v="Compact SUV"/>
    <x v="0"/>
    <n v="51200"/>
    <x v="2"/>
    <x v="42"/>
    <x v="41"/>
    <s v="Thomas"/>
    <s v="t.thomas@email.com"/>
    <x v="7"/>
    <s v="Nissan Direct"/>
    <s v="South"/>
    <x v="0"/>
    <s v="5.6L"/>
    <x v="3"/>
    <n v="30000"/>
    <n v="2020"/>
    <x v="3"/>
    <x v="3"/>
    <x v="3"/>
    <x v="1"/>
  </r>
  <r>
    <x v="82"/>
    <x v="2"/>
    <x v="19"/>
    <s v="SUV"/>
    <s v="Compact SUV"/>
    <x v="0"/>
    <n v="51200"/>
    <x v="2"/>
    <x v="42"/>
    <x v="41"/>
    <s v="Thomas"/>
    <s v="t.thomas@email.com"/>
    <x v="7"/>
    <s v="Nissan Direct"/>
    <s v="South"/>
    <x v="0"/>
    <s v="5.6L"/>
    <x v="3"/>
    <n v="30000"/>
    <n v="2020"/>
    <x v="3"/>
    <x v="3"/>
    <x v="3"/>
    <x v="1"/>
  </r>
  <r>
    <x v="83"/>
    <x v="8"/>
    <x v="23"/>
    <s v="SUV"/>
    <s v="Compact SUV"/>
    <x v="0"/>
    <n v="35200"/>
    <x v="1"/>
    <x v="46"/>
    <x v="45"/>
    <s v="White"/>
    <s v="z.white@email.com"/>
    <x v="5"/>
    <s v="Chevy World"/>
    <s v="Midwest"/>
    <x v="0"/>
    <s v="2.5L"/>
    <x v="1"/>
    <n v="25000"/>
    <n v="2020"/>
    <x v="5"/>
    <x v="5"/>
    <x v="5"/>
    <x v="1"/>
  </r>
  <r>
    <x v="84"/>
    <x v="3"/>
    <x v="27"/>
    <s v="Sedan"/>
    <s v="Full-Size Car"/>
    <x v="0"/>
    <n v="34500"/>
    <x v="1"/>
    <x v="50"/>
    <x v="49"/>
    <s v="Harris"/>
    <s v="s.harris3@email.com"/>
    <x v="1"/>
    <s v="Hyundai Plus"/>
    <s v="West"/>
    <x v="0"/>
    <s v="2.0L"/>
    <x v="4"/>
    <n v="5000"/>
    <n v="2024"/>
    <x v="7"/>
    <x v="7"/>
    <x v="7"/>
    <x v="2"/>
  </r>
  <r>
    <x v="85"/>
    <x v="7"/>
    <x v="24"/>
    <s v="SUV"/>
    <s v="Compact SUV"/>
    <x v="0"/>
    <n v="22900"/>
    <x v="0"/>
    <x v="47"/>
    <x v="46"/>
    <s v="Moore"/>
    <s v="m.moore2@email.com"/>
    <x v="3"/>
    <s v="Ford Country"/>
    <s v="Midwest"/>
    <x v="0"/>
    <s v="1.0L"/>
    <x v="0"/>
    <n v="19000"/>
    <n v="2021"/>
    <x v="5"/>
    <x v="5"/>
    <x v="5"/>
    <x v="1"/>
  </r>
  <r>
    <x v="86"/>
    <x v="6"/>
    <x v="29"/>
    <s v="Sedan"/>
    <s v="Full-Size Car"/>
    <x v="2"/>
    <n v="69900"/>
    <x v="3"/>
    <x v="52"/>
    <x v="51"/>
    <s v="Lee"/>
    <s v="a.lee@gmail.com"/>
    <x v="9"/>
    <s v="BMW Elite"/>
    <s v="Northeast"/>
    <x v="0"/>
    <s v="3.0L"/>
    <x v="0"/>
    <n v="6000"/>
    <n v="2023"/>
    <x v="8"/>
    <x v="8"/>
    <x v="8"/>
    <x v="2"/>
  </r>
  <r>
    <x v="87"/>
    <x v="3"/>
    <x v="14"/>
    <s v="Sedan"/>
    <s v="Subcompact_Compact Car"/>
    <x v="0"/>
    <n v="22900"/>
    <x v="0"/>
    <x v="35"/>
    <x v="35"/>
    <s v="Chen"/>
    <s v="lisa.chen@outlook.com"/>
    <x v="1"/>
    <s v="Hyundai Plus"/>
    <s v="West"/>
    <x v="0"/>
    <s v="2.0L"/>
    <x v="4"/>
    <n v="12000"/>
    <n v="2022"/>
    <x v="1"/>
    <x v="1"/>
    <x v="1"/>
    <x v="0"/>
  </r>
  <r>
    <x v="88"/>
    <x v="5"/>
    <x v="16"/>
    <s v="Sedan"/>
    <s v="Full-Size Car"/>
    <x v="2"/>
    <n v="89500"/>
    <x v="3"/>
    <x v="37"/>
    <x v="36"/>
    <s v="Rodriguez"/>
    <s v="mrodriguez@email.com"/>
    <x v="6"/>
    <s v="Tesla Direct"/>
    <s v="West"/>
    <x v="3"/>
    <s v="UNKNOWN"/>
    <x v="4"/>
    <n v="8000"/>
    <n v="2023"/>
    <x v="2"/>
    <x v="2"/>
    <x v="2"/>
    <x v="0"/>
  </r>
  <r>
    <x v="89"/>
    <x v="8"/>
    <x v="23"/>
    <s v="SUV"/>
    <s v="Compact SUV"/>
    <x v="0"/>
    <n v="35200"/>
    <x v="1"/>
    <x v="46"/>
    <x v="45"/>
    <s v="White"/>
    <s v="z.white@email.com"/>
    <x v="5"/>
    <s v="Chevy World"/>
    <s v="Midwest"/>
    <x v="0"/>
    <s v="2.5L"/>
    <x v="1"/>
    <n v="25000"/>
    <n v="2020"/>
    <x v="5"/>
    <x v="5"/>
    <x v="5"/>
    <x v="1"/>
  </r>
  <r>
    <x v="90"/>
    <x v="4"/>
    <x v="15"/>
    <s v="SUV"/>
    <s v="Compact SUV"/>
    <x v="0"/>
    <n v="41200"/>
    <x v="2"/>
    <x v="39"/>
    <x v="38"/>
    <s v="White"/>
    <s v="e.white@email.com"/>
    <x v="4"/>
    <s v="jeep nation"/>
    <s v="South"/>
    <x v="0"/>
    <s v="3.6L"/>
    <x v="1"/>
    <n v="29000"/>
    <n v="2020"/>
    <x v="2"/>
    <x v="2"/>
    <x v="2"/>
    <x v="0"/>
  </r>
  <r>
    <x v="91"/>
    <x v="4"/>
    <x v="25"/>
    <s v="SUV"/>
    <s v="Compact SUV"/>
    <x v="0"/>
    <n v="27900"/>
    <x v="1"/>
    <x v="48"/>
    <x v="47"/>
    <s v="Martin"/>
    <s v="t.martin@gmail.com"/>
    <x v="4"/>
    <s v="jeep nation"/>
    <s v="South"/>
    <x v="0"/>
    <s v="1.3L"/>
    <x v="2"/>
    <n v="13000"/>
    <n v="2023"/>
    <x v="6"/>
    <x v="6"/>
    <x v="6"/>
    <x v="2"/>
  </r>
  <r>
    <x v="92"/>
    <x v="4"/>
    <x v="15"/>
    <s v="SUV"/>
    <s v="Compact SUV"/>
    <x v="0"/>
    <n v="41200"/>
    <x v="2"/>
    <x v="39"/>
    <x v="38"/>
    <s v="White"/>
    <s v="e.white@email.com"/>
    <x v="4"/>
    <s v="jeep nation"/>
    <s v="South"/>
    <x v="0"/>
    <s v="3.6L"/>
    <x v="1"/>
    <n v="29000"/>
    <n v="2020"/>
    <x v="2"/>
    <x v="2"/>
    <x v="2"/>
    <x v="0"/>
  </r>
  <r>
    <x v="93"/>
    <x v="4"/>
    <x v="22"/>
    <s v="SUV"/>
    <s v="Compact SUV"/>
    <x v="0"/>
    <n v="22900"/>
    <x v="0"/>
    <x v="45"/>
    <x v="44"/>
    <s v="Martin"/>
    <s v="m.martin@gmail.com"/>
    <x v="4"/>
    <s v="jeep nation"/>
    <s v="South"/>
    <x v="0"/>
    <s v="3.7L"/>
    <x v="2"/>
    <n v="45000"/>
    <n v="2016"/>
    <x v="4"/>
    <x v="4"/>
    <x v="4"/>
    <x v="1"/>
  </r>
  <r>
    <x v="94"/>
    <x v="4"/>
    <x v="15"/>
    <s v="SUV"/>
    <s v="Compact SUV"/>
    <x v="0"/>
    <n v="38900"/>
    <x v="1"/>
    <x v="36"/>
    <x v="19"/>
    <s v="Taylor"/>
    <s v="a.taylor@gmail.com"/>
    <x v="4"/>
    <s v="jeep nation"/>
    <s v="South"/>
    <x v="0"/>
    <s v="3.6L"/>
    <x v="6"/>
    <n v="35000"/>
    <n v="2020"/>
    <x v="1"/>
    <x v="1"/>
    <x v="1"/>
    <x v="0"/>
  </r>
  <r>
    <x v="95"/>
    <x v="6"/>
    <x v="29"/>
    <s v="Sedan"/>
    <s v="Full-Size Car"/>
    <x v="2"/>
    <n v="69900"/>
    <x v="3"/>
    <x v="52"/>
    <x v="51"/>
    <s v="Lee"/>
    <s v="a.lee@gmail.com"/>
    <x v="9"/>
    <s v="BMW Elite"/>
    <s v="Northeast"/>
    <x v="0"/>
    <s v="3.0L"/>
    <x v="0"/>
    <n v="6000"/>
    <n v="2023"/>
    <x v="8"/>
    <x v="8"/>
    <x v="8"/>
    <x v="2"/>
  </r>
  <r>
    <x v="96"/>
    <x v="6"/>
    <x v="18"/>
    <s v="Sedan"/>
    <s v="Full-Size Car"/>
    <x v="2"/>
    <n v="89900"/>
    <x v="3"/>
    <x v="41"/>
    <x v="40"/>
    <s v="Wilson"/>
    <s v="k.wilson@email.com"/>
    <x v="9"/>
    <s v="BMW Elite"/>
    <s v="Northeast"/>
    <x v="0"/>
    <s v="3.0L"/>
    <x v="6"/>
    <n v="26000"/>
    <n v="2020"/>
    <x v="3"/>
    <x v="3"/>
    <x v="3"/>
    <x v="1"/>
  </r>
  <r>
    <x v="97"/>
    <x v="4"/>
    <x v="22"/>
    <s v="SUV"/>
    <s v="Compact SUV"/>
    <x v="0"/>
    <n v="22900"/>
    <x v="0"/>
    <x v="45"/>
    <x v="44"/>
    <s v="Martin"/>
    <s v="m.martin@gmail.com"/>
    <x v="4"/>
    <s v="jeep nation"/>
    <s v="South"/>
    <x v="0"/>
    <s v="3.7L"/>
    <x v="2"/>
    <n v="45000"/>
    <n v="2016"/>
    <x v="4"/>
    <x v="4"/>
    <x v="4"/>
    <x v="1"/>
  </r>
  <r>
    <x v="98"/>
    <x v="2"/>
    <x v="30"/>
    <s v="Coupe"/>
    <s v="Other"/>
    <x v="0"/>
    <n v="115900"/>
    <x v="4"/>
    <x v="53"/>
    <x v="52"/>
    <s v="Taylor"/>
    <s v="e.taylor@gmail.com"/>
    <x v="7"/>
    <s v="Nissan Direct"/>
    <s v="South"/>
    <x v="0"/>
    <s v="3.8L"/>
    <x v="1"/>
    <n v="2500"/>
    <n v="2024"/>
    <x v="8"/>
    <x v="8"/>
    <x v="8"/>
    <x v="2"/>
  </r>
  <r>
    <x v="99"/>
    <x v="2"/>
    <x v="30"/>
    <s v="Coupe"/>
    <s v="Other"/>
    <x v="0"/>
    <n v="115900"/>
    <x v="4"/>
    <x v="53"/>
    <x v="52"/>
    <s v="Taylor"/>
    <s v="e.taylor@gmail.com"/>
    <x v="7"/>
    <s v="Nissan Direct"/>
    <s v="South"/>
    <x v="0"/>
    <s v="3.8L"/>
    <x v="1"/>
    <n v="2500"/>
    <n v="2024"/>
    <x v="8"/>
    <x v="8"/>
    <x v="8"/>
    <x v="2"/>
  </r>
  <r>
    <x v="100"/>
    <x v="4"/>
    <x v="25"/>
    <s v="SUV"/>
    <s v="Compact SUV"/>
    <x v="0"/>
    <n v="27900"/>
    <x v="1"/>
    <x v="48"/>
    <x v="47"/>
    <s v="Martin"/>
    <s v="t.martin@gmail.com"/>
    <x v="4"/>
    <s v="jeep nation"/>
    <s v="South"/>
    <x v="0"/>
    <s v="1.3L"/>
    <x v="2"/>
    <n v="13000"/>
    <n v="2023"/>
    <x v="6"/>
    <x v="6"/>
    <x v="6"/>
    <x v="2"/>
  </r>
  <r>
    <x v="101"/>
    <x v="2"/>
    <x v="13"/>
    <s v="Sedan"/>
    <s v="Full-Size Car"/>
    <x v="0"/>
    <n v="26800"/>
    <x v="1"/>
    <x v="34"/>
    <x v="34"/>
    <s v="Davis"/>
    <s v="m.davis@yahoo.com"/>
    <x v="8"/>
    <s v="UNKNOWN"/>
    <s v="Northeast"/>
    <x v="0"/>
    <s v="2.5L"/>
    <x v="2"/>
    <n v="22000"/>
    <n v="2020"/>
    <x v="1"/>
    <x v="1"/>
    <x v="1"/>
    <x v="0"/>
  </r>
  <r>
    <x v="102"/>
    <x v="7"/>
    <x v="24"/>
    <s v="SUV"/>
    <s v="Compact SUV"/>
    <x v="0"/>
    <n v="22900"/>
    <x v="0"/>
    <x v="47"/>
    <x v="46"/>
    <s v="Moore"/>
    <s v="m.moore2@email.com"/>
    <x v="3"/>
    <s v="Ford Country"/>
    <s v="Midwest"/>
    <x v="0"/>
    <s v="1.0L"/>
    <x v="0"/>
    <n v="19000"/>
    <n v="2021"/>
    <x v="5"/>
    <x v="5"/>
    <x v="5"/>
    <x v="1"/>
  </r>
  <r>
    <x v="103"/>
    <x v="2"/>
    <x v="19"/>
    <s v="SUV"/>
    <s v="Compact SUV"/>
    <x v="0"/>
    <n v="51200"/>
    <x v="2"/>
    <x v="42"/>
    <x v="41"/>
    <s v="Thomas"/>
    <s v="t.thomas@email.com"/>
    <x v="7"/>
    <s v="Nissan Direct"/>
    <s v="South"/>
    <x v="0"/>
    <s v="5.6L"/>
    <x v="3"/>
    <n v="30000"/>
    <n v="2020"/>
    <x v="3"/>
    <x v="3"/>
    <x v="3"/>
    <x v="1"/>
  </r>
  <r>
    <x v="104"/>
    <x v="4"/>
    <x v="15"/>
    <s v="SUV"/>
    <s v="Compact SUV"/>
    <x v="0"/>
    <n v="41200"/>
    <x v="2"/>
    <x v="39"/>
    <x v="38"/>
    <s v="White"/>
    <s v="e.white@email.com"/>
    <x v="4"/>
    <s v="jeep nation"/>
    <s v="South"/>
    <x v="0"/>
    <s v="3.6L"/>
    <x v="1"/>
    <n v="29000"/>
    <n v="2020"/>
    <x v="2"/>
    <x v="2"/>
    <x v="2"/>
    <x v="0"/>
  </r>
  <r>
    <x v="105"/>
    <x v="0"/>
    <x v="1"/>
    <s v="Hatchback"/>
    <s v="Hybrid"/>
    <x v="1"/>
    <n v="27000"/>
    <x v="1"/>
    <x v="54"/>
    <x v="53"/>
    <s v="Thompson"/>
    <s v="j.thompson@email.com"/>
    <x v="9"/>
    <s v="BMW Elite"/>
    <s v="Northeast"/>
    <x v="0"/>
    <s v="3.0L"/>
    <x v="6"/>
    <n v="32000"/>
    <n v="2020"/>
    <x v="9"/>
    <x v="9"/>
    <x v="9"/>
    <x v="3"/>
  </r>
  <r>
    <x v="106"/>
    <x v="0"/>
    <x v="1"/>
    <s v="Hatchback"/>
    <s v="Hybrid"/>
    <x v="1"/>
    <n v="27000"/>
    <x v="1"/>
    <x v="55"/>
    <x v="54"/>
    <s v="Garcia"/>
    <s v="n.garcia@email.com"/>
    <x v="6"/>
    <s v="Tesla Direct"/>
    <s v="West"/>
    <x v="3"/>
    <s v="UNKNOWN"/>
    <x v="0"/>
    <n v="12000"/>
    <n v="2023"/>
    <x v="9"/>
    <x v="9"/>
    <x v="9"/>
    <x v="3"/>
  </r>
  <r>
    <x v="107"/>
    <x v="0"/>
    <x v="1"/>
    <s v="Sedan"/>
    <s v="Full-Size Car"/>
    <x v="0"/>
    <n v="29500"/>
    <x v="1"/>
    <x v="56"/>
    <x v="55"/>
    <s v="Wilson"/>
    <s v="l.wilson@email.com"/>
    <x v="0"/>
    <s v="Toyota Center"/>
    <s v="West"/>
    <x v="1"/>
    <s v="1.8L"/>
    <x v="3"/>
    <n v="9000"/>
    <n v="2023"/>
    <x v="9"/>
    <x v="9"/>
    <x v="9"/>
    <x v="3"/>
  </r>
  <r>
    <x v="108"/>
    <x v="0"/>
    <x v="1"/>
    <s v="Hatchback"/>
    <s v="Hybrid"/>
    <x v="1"/>
    <n v="27000"/>
    <x v="1"/>
    <x v="57"/>
    <x v="56"/>
    <s v="Jackson"/>
    <s v="h.jackson@gmail.com"/>
    <x v="5"/>
    <s v="Chevy World"/>
    <s v="Midwest"/>
    <x v="0"/>
    <s v="1.5L"/>
    <x v="0"/>
    <n v="20000"/>
    <n v="2022"/>
    <x v="9"/>
    <x v="9"/>
    <x v="9"/>
    <x v="3"/>
  </r>
  <r>
    <x v="109"/>
    <x v="0"/>
    <x v="1"/>
    <s v="Hatchback"/>
    <s v="Hybrid"/>
    <x v="1"/>
    <n v="27000"/>
    <x v="1"/>
    <x v="58"/>
    <x v="57"/>
    <s v="White"/>
    <s v="e.white@email.com"/>
    <x v="9"/>
    <s v="BMW Elite"/>
    <s v="Northeast"/>
    <x v="0"/>
    <s v="2.0L"/>
    <x v="1"/>
    <n v="28000"/>
    <n v="2020"/>
    <x v="10"/>
    <x v="10"/>
    <x v="10"/>
    <x v="3"/>
  </r>
  <r>
    <x v="110"/>
    <x v="0"/>
    <x v="5"/>
    <s v="SUV"/>
    <s v="Mid_Full-Size SUV"/>
    <x v="0"/>
    <n v="35800"/>
    <x v="1"/>
    <x v="59"/>
    <x v="58"/>
    <s v="Thompson"/>
    <s v="r.thompson@email.com"/>
    <x v="0"/>
    <s v="Toyota Center"/>
    <s v="West"/>
    <x v="0"/>
    <s v="2.5L"/>
    <x v="2"/>
    <n v="11000"/>
    <n v="2023"/>
    <x v="10"/>
    <x v="10"/>
    <x v="10"/>
    <x v="3"/>
  </r>
  <r>
    <x v="111"/>
    <x v="0"/>
    <x v="1"/>
    <s v="Hatchback"/>
    <s v="Hybrid"/>
    <x v="1"/>
    <n v="27000"/>
    <x v="1"/>
    <x v="60"/>
    <x v="59"/>
    <s v="Garcia"/>
    <s v="j.garcia@email.com"/>
    <x v="7"/>
    <s v="Nissan Direct"/>
    <s v="South"/>
    <x v="0"/>
    <s v="2.5L"/>
    <x v="3"/>
    <n v="24000"/>
    <n v="2021"/>
    <x v="10"/>
    <x v="10"/>
    <x v="10"/>
    <x v="3"/>
  </r>
  <r>
    <x v="112"/>
    <x v="0"/>
    <x v="5"/>
    <s v="SUV"/>
    <s v="Mid_Full-Size SUV"/>
    <x v="0"/>
    <n v="32000"/>
    <x v="1"/>
    <x v="61"/>
    <x v="6"/>
    <s v="Anderson"/>
    <s v="g.anderson@email.com"/>
    <x v="9"/>
    <s v="BMW Elite"/>
    <s v="Northeast"/>
    <x v="0"/>
    <s v="2.0L"/>
    <x v="2"/>
    <n v="21000"/>
    <n v="2021"/>
    <x v="10"/>
    <x v="10"/>
    <x v="10"/>
    <x v="3"/>
  </r>
  <r>
    <x v="113"/>
    <x v="0"/>
    <x v="6"/>
    <s v="SUV"/>
    <s v="Compact SUV"/>
    <x v="0"/>
    <n v="44800"/>
    <x v="2"/>
    <x v="62"/>
    <x v="60"/>
    <s v="White"/>
    <s v="r.white@email.com"/>
    <x v="0"/>
    <s v="Toyota Center"/>
    <s v="West"/>
    <x v="0"/>
    <s v="3.5L"/>
    <x v="6"/>
    <n v="18000"/>
    <n v="2022"/>
    <x v="11"/>
    <x v="11"/>
    <x v="11"/>
    <x v="3"/>
  </r>
  <r>
    <x v="114"/>
    <x v="0"/>
    <x v="6"/>
    <s v="SUV"/>
    <s v="Mid_Full-Size SUV"/>
    <x v="2"/>
    <n v="43000"/>
    <x v="2"/>
    <x v="63"/>
    <x v="61"/>
    <s v="Thompson"/>
    <s v="k.thompson@email.com"/>
    <x v="4"/>
    <s v="jeep nation"/>
    <s v="South"/>
    <x v="0"/>
    <s v="2.4L"/>
    <x v="2"/>
    <n v="20000"/>
    <n v="2021"/>
    <x v="11"/>
    <x v="11"/>
    <x v="11"/>
    <x v="3"/>
  </r>
  <r>
    <x v="115"/>
    <x v="0"/>
    <x v="5"/>
    <s v="SUV"/>
    <s v="Mid_Full-Size SUV"/>
    <x v="0"/>
    <n v="32000"/>
    <x v="1"/>
    <x v="64"/>
    <x v="62"/>
    <s v="Wilson"/>
    <s v="h.wilson@email.com"/>
    <x v="9"/>
    <s v="BMW Elite"/>
    <s v="Northeast"/>
    <x v="0"/>
    <s v="2.0L"/>
    <x v="1"/>
    <n v="15000"/>
    <n v="2022"/>
    <x v="11"/>
    <x v="11"/>
    <x v="11"/>
    <x v="3"/>
  </r>
  <r>
    <x v="116"/>
    <x v="0"/>
    <x v="31"/>
    <s v="Truck"/>
    <s v="Pickup Truck"/>
    <x v="0"/>
    <n v="33500"/>
    <x v="1"/>
    <x v="65"/>
    <x v="63"/>
    <s v="Taylor"/>
    <s v="r.taylor@email.com"/>
    <x v="0"/>
    <s v="Toyota Center"/>
    <s v="West"/>
    <x v="0"/>
    <s v="2.7L"/>
    <x v="6"/>
    <n v="21000"/>
    <n v="2020"/>
    <x v="11"/>
    <x v="11"/>
    <x v="11"/>
    <x v="3"/>
  </r>
  <r>
    <x v="117"/>
    <x v="0"/>
    <x v="6"/>
    <s v="SUV"/>
    <s v="Mid_Full-Size SUV"/>
    <x v="2"/>
    <n v="43000"/>
    <x v="2"/>
    <x v="66"/>
    <x v="64"/>
    <s v="White"/>
    <s v="e.white2@email.com"/>
    <x v="6"/>
    <s v="Tesla Direct"/>
    <s v="West"/>
    <x v="3"/>
    <s v="UNKNOWN"/>
    <x v="2"/>
    <n v="1000"/>
    <n v="2024"/>
    <x v="11"/>
    <x v="11"/>
    <x v="11"/>
    <x v="3"/>
  </r>
  <r>
    <x v="118"/>
    <x v="1"/>
    <x v="32"/>
    <s v="Sedan"/>
    <s v="Full-Size Car"/>
    <x v="0"/>
    <n v="29800"/>
    <x v="1"/>
    <x v="67"/>
    <x v="10"/>
    <s v="Lee"/>
    <s v="k.lee@gmail.com"/>
    <x v="2"/>
    <s v="metro honda"/>
    <s v="Northeast"/>
    <x v="0"/>
    <s v="1.5L"/>
    <x v="1"/>
    <n v="22000"/>
    <n v="2021"/>
    <x v="9"/>
    <x v="9"/>
    <x v="9"/>
    <x v="3"/>
  </r>
  <r>
    <x v="119"/>
    <x v="5"/>
    <x v="33"/>
    <s v="SUV"/>
    <s v="Compact SUV"/>
    <x v="2"/>
    <n v="10435"/>
    <x v="2"/>
    <x v="68"/>
    <x v="65"/>
    <s v="Harris"/>
    <s v="d.harris@email.com"/>
    <x v="6"/>
    <s v="Tesla Direct"/>
    <s v="West"/>
    <x v="3"/>
    <s v="UNKNOWN"/>
    <x v="6"/>
    <n v="6000"/>
    <n v="2024"/>
    <x v="10"/>
    <x v="10"/>
    <x v="10"/>
    <x v="3"/>
  </r>
  <r>
    <x v="120"/>
    <x v="0"/>
    <x v="1"/>
    <s v="Hatchback"/>
    <s v="Hybrid"/>
    <x v="1"/>
    <n v="27000"/>
    <x v="1"/>
    <x v="54"/>
    <x v="53"/>
    <s v="Thompson"/>
    <s v="j.thompson@email.com"/>
    <x v="9"/>
    <s v="BMW Elite"/>
    <s v="Northeast"/>
    <x v="0"/>
    <s v="3.0L"/>
    <x v="6"/>
    <n v="32000"/>
    <n v="2020"/>
    <x v="9"/>
    <x v="9"/>
    <x v="9"/>
    <x v="3"/>
  </r>
  <r>
    <x v="121"/>
    <x v="0"/>
    <x v="1"/>
    <s v="Hatchback"/>
    <s v="Hybrid"/>
    <x v="1"/>
    <n v="27000"/>
    <x v="1"/>
    <x v="55"/>
    <x v="54"/>
    <s v="Garcia"/>
    <s v="n.garcia@email.com"/>
    <x v="6"/>
    <s v="Tesla Direct"/>
    <s v="West"/>
    <x v="3"/>
    <s v="UNKNOWN"/>
    <x v="0"/>
    <n v="12000"/>
    <n v="2023"/>
    <x v="9"/>
    <x v="9"/>
    <x v="9"/>
    <x v="3"/>
  </r>
  <r>
    <x v="122"/>
    <x v="0"/>
    <x v="1"/>
    <s v="Sedan"/>
    <s v="Full-Size Car"/>
    <x v="0"/>
    <n v="29500"/>
    <x v="1"/>
    <x v="56"/>
    <x v="55"/>
    <s v="Wilson"/>
    <s v="l.wilson@email.com"/>
    <x v="0"/>
    <s v="Toyota Center"/>
    <s v="West"/>
    <x v="1"/>
    <s v="1.8L"/>
    <x v="3"/>
    <n v="9000"/>
    <n v="2023"/>
    <x v="9"/>
    <x v="9"/>
    <x v="9"/>
    <x v="3"/>
  </r>
  <r>
    <x v="123"/>
    <x v="0"/>
    <x v="1"/>
    <s v="Hatchback"/>
    <s v="Hybrid"/>
    <x v="1"/>
    <n v="27000"/>
    <x v="1"/>
    <x v="57"/>
    <x v="56"/>
    <s v="Jackson"/>
    <s v="h.jackson@gmail.com"/>
    <x v="5"/>
    <s v="Chevy World"/>
    <s v="Midwest"/>
    <x v="0"/>
    <s v="1.5L"/>
    <x v="0"/>
    <n v="20000"/>
    <n v="2022"/>
    <x v="9"/>
    <x v="9"/>
    <x v="9"/>
    <x v="3"/>
  </r>
  <r>
    <x v="124"/>
    <x v="0"/>
    <x v="1"/>
    <s v="Hatchback"/>
    <s v="Hybrid"/>
    <x v="1"/>
    <n v="27000"/>
    <x v="1"/>
    <x v="58"/>
    <x v="57"/>
    <s v="White"/>
    <s v="e.white@email.com"/>
    <x v="9"/>
    <s v="BMW Elite"/>
    <s v="Northeast"/>
    <x v="0"/>
    <s v="2.0L"/>
    <x v="1"/>
    <n v="28000"/>
    <n v="2020"/>
    <x v="10"/>
    <x v="10"/>
    <x v="10"/>
    <x v="3"/>
  </r>
  <r>
    <x v="125"/>
    <x v="0"/>
    <x v="5"/>
    <s v="SUV"/>
    <s v="Mid_Full-Size SUV"/>
    <x v="0"/>
    <n v="35800"/>
    <x v="1"/>
    <x v="59"/>
    <x v="58"/>
    <s v="Thompson"/>
    <s v="r.thompson@email.com"/>
    <x v="0"/>
    <s v="Toyota Center"/>
    <s v="West"/>
    <x v="0"/>
    <s v="2.5L"/>
    <x v="2"/>
    <n v="11000"/>
    <n v="2023"/>
    <x v="10"/>
    <x v="10"/>
    <x v="10"/>
    <x v="3"/>
  </r>
  <r>
    <x v="126"/>
    <x v="0"/>
    <x v="1"/>
    <s v="Hatchback"/>
    <s v="Hybrid"/>
    <x v="1"/>
    <n v="27000"/>
    <x v="1"/>
    <x v="60"/>
    <x v="59"/>
    <s v="Garcia"/>
    <s v="j.garcia@email.com"/>
    <x v="7"/>
    <s v="Nissan Direct"/>
    <s v="South"/>
    <x v="0"/>
    <s v="2.5L"/>
    <x v="3"/>
    <n v="24000"/>
    <n v="2021"/>
    <x v="10"/>
    <x v="10"/>
    <x v="10"/>
    <x v="3"/>
  </r>
  <r>
    <x v="127"/>
    <x v="0"/>
    <x v="5"/>
    <s v="SUV"/>
    <s v="Mid_Full-Size SUV"/>
    <x v="0"/>
    <n v="32000"/>
    <x v="1"/>
    <x v="61"/>
    <x v="6"/>
    <s v="Anderson"/>
    <s v="g.anderson@email.com"/>
    <x v="9"/>
    <s v="BMW Elite"/>
    <s v="Northeast"/>
    <x v="0"/>
    <s v="2.0L"/>
    <x v="2"/>
    <n v="21000"/>
    <n v="2021"/>
    <x v="10"/>
    <x v="10"/>
    <x v="10"/>
    <x v="3"/>
  </r>
  <r>
    <x v="128"/>
    <x v="0"/>
    <x v="6"/>
    <s v="SUV"/>
    <s v="Compact SUV"/>
    <x v="0"/>
    <n v="44800"/>
    <x v="2"/>
    <x v="62"/>
    <x v="60"/>
    <s v="White"/>
    <s v="r.white@email.com"/>
    <x v="0"/>
    <s v="Toyota Center"/>
    <s v="West"/>
    <x v="0"/>
    <s v="3.5L"/>
    <x v="6"/>
    <n v="18000"/>
    <n v="2022"/>
    <x v="11"/>
    <x v="11"/>
    <x v="11"/>
    <x v="3"/>
  </r>
  <r>
    <x v="129"/>
    <x v="0"/>
    <x v="6"/>
    <s v="SUV"/>
    <s v="Mid_Full-Size SUV"/>
    <x v="2"/>
    <n v="43000"/>
    <x v="2"/>
    <x v="63"/>
    <x v="61"/>
    <s v="Thompson"/>
    <s v="k.thompson@email.com"/>
    <x v="4"/>
    <s v="jeep nation"/>
    <s v="South"/>
    <x v="0"/>
    <s v="2.4L"/>
    <x v="2"/>
    <n v="20000"/>
    <n v="2021"/>
    <x v="11"/>
    <x v="11"/>
    <x v="11"/>
    <x v="3"/>
  </r>
  <r>
    <x v="130"/>
    <x v="0"/>
    <x v="5"/>
    <s v="SUV"/>
    <s v="Mid_Full-Size SUV"/>
    <x v="0"/>
    <n v="32000"/>
    <x v="1"/>
    <x v="64"/>
    <x v="62"/>
    <s v="Wilson"/>
    <s v="h.wilson@email.com"/>
    <x v="9"/>
    <s v="BMW Elite"/>
    <s v="Northeast"/>
    <x v="0"/>
    <s v="2.0L"/>
    <x v="1"/>
    <n v="15000"/>
    <n v="2022"/>
    <x v="11"/>
    <x v="11"/>
    <x v="11"/>
    <x v="3"/>
  </r>
  <r>
    <x v="131"/>
    <x v="0"/>
    <x v="31"/>
    <s v="Truck"/>
    <s v="Pickup Truck"/>
    <x v="0"/>
    <n v="33500"/>
    <x v="1"/>
    <x v="65"/>
    <x v="63"/>
    <s v="Taylor"/>
    <s v="r.taylor@email.com"/>
    <x v="0"/>
    <s v="Toyota Center"/>
    <s v="West"/>
    <x v="0"/>
    <s v="2.7L"/>
    <x v="6"/>
    <n v="21000"/>
    <n v="2020"/>
    <x v="11"/>
    <x v="11"/>
    <x v="11"/>
    <x v="3"/>
  </r>
  <r>
    <x v="132"/>
    <x v="0"/>
    <x v="6"/>
    <s v="SUV"/>
    <s v="Mid_Full-Size SUV"/>
    <x v="2"/>
    <n v="43000"/>
    <x v="2"/>
    <x v="66"/>
    <x v="64"/>
    <s v="White"/>
    <s v="e.white2@email.com"/>
    <x v="6"/>
    <s v="Tesla Direct"/>
    <s v="West"/>
    <x v="3"/>
    <s v="UNKNOWN"/>
    <x v="2"/>
    <n v="1000"/>
    <n v="2024"/>
    <x v="11"/>
    <x v="11"/>
    <x v="11"/>
    <x v="3"/>
  </r>
  <r>
    <x v="133"/>
    <x v="1"/>
    <x v="32"/>
    <s v="Sedan"/>
    <s v="Full-Size Car"/>
    <x v="0"/>
    <n v="29800"/>
    <x v="1"/>
    <x v="67"/>
    <x v="10"/>
    <s v="Lee"/>
    <s v="k.lee@gmail.com"/>
    <x v="2"/>
    <s v="metro honda"/>
    <s v="Northeast"/>
    <x v="0"/>
    <s v="1.5L"/>
    <x v="1"/>
    <n v="22000"/>
    <n v="2021"/>
    <x v="9"/>
    <x v="9"/>
    <x v="9"/>
    <x v="3"/>
  </r>
  <r>
    <x v="134"/>
    <x v="5"/>
    <x v="33"/>
    <s v="SUV"/>
    <s v="Compact SUV"/>
    <x v="2"/>
    <n v="10435"/>
    <x v="2"/>
    <x v="68"/>
    <x v="65"/>
    <s v="Harris"/>
    <s v="d.harris@email.com"/>
    <x v="6"/>
    <s v="Tesla Direct"/>
    <s v="West"/>
    <x v="3"/>
    <s v="UNKNOWN"/>
    <x v="6"/>
    <n v="6000"/>
    <n v="2024"/>
    <x v="10"/>
    <x v="10"/>
    <x v="10"/>
    <x v="3"/>
  </r>
  <r>
    <x v="135"/>
    <x v="0"/>
    <x v="1"/>
    <s v="Hatchback"/>
    <s v="Hybrid"/>
    <x v="1"/>
    <n v="27000"/>
    <x v="1"/>
    <x v="54"/>
    <x v="53"/>
    <s v="Thompson"/>
    <s v="j.thompson@email.com"/>
    <x v="9"/>
    <s v="BMW Elite"/>
    <s v="Northeast"/>
    <x v="0"/>
    <s v="3.0L"/>
    <x v="6"/>
    <n v="32000"/>
    <n v="2020"/>
    <x v="9"/>
    <x v="9"/>
    <x v="9"/>
    <x v="3"/>
  </r>
  <r>
    <x v="136"/>
    <x v="0"/>
    <x v="1"/>
    <s v="Hatchback"/>
    <s v="Hybrid"/>
    <x v="1"/>
    <n v="27000"/>
    <x v="1"/>
    <x v="55"/>
    <x v="54"/>
    <s v="Garcia"/>
    <s v="n.garcia@email.com"/>
    <x v="6"/>
    <s v="Tesla Direct"/>
    <s v="West"/>
    <x v="3"/>
    <s v="UNKNOWN"/>
    <x v="0"/>
    <n v="12000"/>
    <n v="2023"/>
    <x v="9"/>
    <x v="9"/>
    <x v="9"/>
    <x v="3"/>
  </r>
  <r>
    <x v="137"/>
    <x v="0"/>
    <x v="1"/>
    <s v="Sedan"/>
    <s v="Full-Size Car"/>
    <x v="0"/>
    <n v="29500"/>
    <x v="1"/>
    <x v="56"/>
    <x v="55"/>
    <s v="Wilson"/>
    <s v="l.wilson@email.com"/>
    <x v="0"/>
    <s v="Toyota Center"/>
    <s v="West"/>
    <x v="1"/>
    <s v="1.8L"/>
    <x v="3"/>
    <n v="9000"/>
    <n v="2023"/>
    <x v="9"/>
    <x v="9"/>
    <x v="9"/>
    <x v="3"/>
  </r>
  <r>
    <x v="138"/>
    <x v="0"/>
    <x v="1"/>
    <s v="Hatchback"/>
    <s v="Hybrid"/>
    <x v="1"/>
    <n v="27000"/>
    <x v="1"/>
    <x v="57"/>
    <x v="56"/>
    <s v="Jackson"/>
    <s v="h.jackson@gmail.com"/>
    <x v="5"/>
    <s v="Chevy World"/>
    <s v="Midwest"/>
    <x v="0"/>
    <s v="1.5L"/>
    <x v="0"/>
    <n v="20000"/>
    <n v="2022"/>
    <x v="9"/>
    <x v="9"/>
    <x v="9"/>
    <x v="3"/>
  </r>
  <r>
    <x v="139"/>
    <x v="0"/>
    <x v="1"/>
    <s v="Hatchback"/>
    <s v="Hybrid"/>
    <x v="1"/>
    <n v="27000"/>
    <x v="1"/>
    <x v="58"/>
    <x v="57"/>
    <s v="White"/>
    <s v="e.white@email.com"/>
    <x v="9"/>
    <s v="BMW Elite"/>
    <s v="Northeast"/>
    <x v="0"/>
    <s v="2.0L"/>
    <x v="1"/>
    <n v="28000"/>
    <n v="2020"/>
    <x v="10"/>
    <x v="10"/>
    <x v="10"/>
    <x v="3"/>
  </r>
  <r>
    <x v="140"/>
    <x v="0"/>
    <x v="5"/>
    <s v="SUV"/>
    <s v="Mid_Full-Size SUV"/>
    <x v="0"/>
    <n v="35800"/>
    <x v="1"/>
    <x v="59"/>
    <x v="58"/>
    <s v="Thompson"/>
    <s v="r.thompson@email.com"/>
    <x v="0"/>
    <s v="Toyota Center"/>
    <s v="West"/>
    <x v="0"/>
    <s v="2.5L"/>
    <x v="2"/>
    <n v="11000"/>
    <n v="2023"/>
    <x v="10"/>
    <x v="10"/>
    <x v="10"/>
    <x v="3"/>
  </r>
  <r>
    <x v="141"/>
    <x v="0"/>
    <x v="1"/>
    <s v="Hatchback"/>
    <s v="Hybrid"/>
    <x v="1"/>
    <n v="27000"/>
    <x v="1"/>
    <x v="60"/>
    <x v="59"/>
    <s v="Garcia"/>
    <s v="j.garcia@email.com"/>
    <x v="7"/>
    <s v="Nissan Direct"/>
    <s v="South"/>
    <x v="0"/>
    <s v="2.5L"/>
    <x v="3"/>
    <n v="24000"/>
    <n v="2021"/>
    <x v="10"/>
    <x v="10"/>
    <x v="10"/>
    <x v="3"/>
  </r>
  <r>
    <x v="142"/>
    <x v="0"/>
    <x v="5"/>
    <s v="SUV"/>
    <s v="Mid_Full-Size SUV"/>
    <x v="0"/>
    <n v="32000"/>
    <x v="1"/>
    <x v="61"/>
    <x v="6"/>
    <s v="Anderson"/>
    <s v="g.anderson@email.com"/>
    <x v="9"/>
    <s v="BMW Elite"/>
    <s v="Northeast"/>
    <x v="0"/>
    <s v="2.0L"/>
    <x v="2"/>
    <n v="21000"/>
    <n v="2021"/>
    <x v="10"/>
    <x v="10"/>
    <x v="10"/>
    <x v="3"/>
  </r>
  <r>
    <x v="143"/>
    <x v="0"/>
    <x v="6"/>
    <s v="SUV"/>
    <s v="Compact SUV"/>
    <x v="0"/>
    <n v="44800"/>
    <x v="2"/>
    <x v="62"/>
    <x v="60"/>
    <s v="White"/>
    <s v="r.white@email.com"/>
    <x v="0"/>
    <s v="Toyota Center"/>
    <s v="West"/>
    <x v="0"/>
    <s v="3.5L"/>
    <x v="6"/>
    <n v="18000"/>
    <n v="2022"/>
    <x v="11"/>
    <x v="11"/>
    <x v="11"/>
    <x v="3"/>
  </r>
  <r>
    <x v="144"/>
    <x v="0"/>
    <x v="6"/>
    <s v="SUV"/>
    <s v="Mid_Full-Size SUV"/>
    <x v="2"/>
    <n v="43000"/>
    <x v="2"/>
    <x v="63"/>
    <x v="61"/>
    <s v="Thompson"/>
    <s v="k.thompson@email.com"/>
    <x v="4"/>
    <s v="jeep nation"/>
    <s v="South"/>
    <x v="0"/>
    <s v="2.4L"/>
    <x v="2"/>
    <n v="20000"/>
    <n v="2021"/>
    <x v="11"/>
    <x v="11"/>
    <x v="11"/>
    <x v="3"/>
  </r>
  <r>
    <x v="145"/>
    <x v="0"/>
    <x v="5"/>
    <s v="SUV"/>
    <s v="Mid_Full-Size SUV"/>
    <x v="0"/>
    <n v="32000"/>
    <x v="1"/>
    <x v="64"/>
    <x v="62"/>
    <s v="Wilson"/>
    <s v="h.wilson@email.com"/>
    <x v="9"/>
    <s v="BMW Elite"/>
    <s v="Northeast"/>
    <x v="0"/>
    <s v="2.0L"/>
    <x v="1"/>
    <n v="15000"/>
    <n v="2022"/>
    <x v="11"/>
    <x v="11"/>
    <x v="11"/>
    <x v="3"/>
  </r>
  <r>
    <x v="146"/>
    <x v="0"/>
    <x v="31"/>
    <s v="Truck"/>
    <s v="Pickup Truck"/>
    <x v="0"/>
    <n v="33500"/>
    <x v="1"/>
    <x v="65"/>
    <x v="63"/>
    <s v="Taylor"/>
    <s v="r.taylor@email.com"/>
    <x v="0"/>
    <s v="Toyota Center"/>
    <s v="West"/>
    <x v="0"/>
    <s v="2.7L"/>
    <x v="6"/>
    <n v="21000"/>
    <n v="2020"/>
    <x v="11"/>
    <x v="11"/>
    <x v="11"/>
    <x v="3"/>
  </r>
  <r>
    <x v="147"/>
    <x v="0"/>
    <x v="6"/>
    <s v="SUV"/>
    <s v="Mid_Full-Size SUV"/>
    <x v="2"/>
    <n v="43000"/>
    <x v="2"/>
    <x v="66"/>
    <x v="64"/>
    <s v="White"/>
    <s v="e.white2@email.com"/>
    <x v="6"/>
    <s v="Tesla Direct"/>
    <s v="West"/>
    <x v="3"/>
    <s v="UNKNOWN"/>
    <x v="2"/>
    <n v="1000"/>
    <n v="2024"/>
    <x v="11"/>
    <x v="11"/>
    <x v="11"/>
    <x v="3"/>
  </r>
  <r>
    <x v="148"/>
    <x v="1"/>
    <x v="32"/>
    <s v="Sedan"/>
    <s v="Full-Size Car"/>
    <x v="0"/>
    <n v="29800"/>
    <x v="1"/>
    <x v="67"/>
    <x v="10"/>
    <s v="Lee"/>
    <s v="k.lee@gmail.com"/>
    <x v="2"/>
    <s v="metro honda"/>
    <s v="Northeast"/>
    <x v="0"/>
    <s v="1.5L"/>
    <x v="1"/>
    <n v="22000"/>
    <n v="2021"/>
    <x v="9"/>
    <x v="9"/>
    <x v="9"/>
    <x v="3"/>
  </r>
  <r>
    <x v="149"/>
    <x v="5"/>
    <x v="33"/>
    <s v="SUV"/>
    <s v="Compact SUV"/>
    <x v="2"/>
    <n v="10436"/>
    <x v="2"/>
    <x v="68"/>
    <x v="65"/>
    <s v="Harris"/>
    <s v="d.harris@email.com"/>
    <x v="6"/>
    <s v="Tesla Direct"/>
    <s v="West"/>
    <x v="3"/>
    <s v="UNKNOWN"/>
    <x v="6"/>
    <n v="6000"/>
    <n v="2024"/>
    <x v="10"/>
    <x v="10"/>
    <x v="10"/>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x v="0"/>
    <x v="0"/>
    <s v="Subcompact_Compact Car"/>
    <x v="0"/>
    <x v="0"/>
    <s v="Under $25,000"/>
    <s v="Sarah Johnson"/>
    <s v="Sarah"/>
    <s v="Johnson"/>
    <s v="sarah.j@gmail.com"/>
    <s v="Toyota Center"/>
    <x v="0"/>
    <x v="0"/>
    <s v="Gasoline"/>
    <s v="1.8L"/>
    <s v="White"/>
    <n v="8500"/>
    <n v="2021"/>
    <x v="0"/>
    <x v="0"/>
    <x v="0"/>
    <x v="0"/>
  </r>
  <r>
    <x v="1"/>
    <x v="0"/>
    <x v="1"/>
    <x v="1"/>
    <s v="Hybrid"/>
    <x v="1"/>
    <x v="1"/>
    <s v="$25K-$39.9K"/>
    <s v="Robert Wilson"/>
    <s v="Robert"/>
    <s v="Wilson"/>
    <s v="rwilson@email.com"/>
    <s v="Hyundai Plus"/>
    <x v="1"/>
    <x v="0"/>
    <s v="Gasoline"/>
    <s v="2.4L"/>
    <s v="Black"/>
    <n v="28000"/>
    <n v="2019"/>
    <x v="1"/>
    <x v="1"/>
    <x v="1"/>
    <x v="0"/>
  </r>
  <r>
    <x v="2"/>
    <x v="0"/>
    <x v="0"/>
    <x v="0"/>
    <s v="Subcompact_Compact Car"/>
    <x v="0"/>
    <x v="2"/>
    <s v="Under $25,000"/>
    <s v="Patricia Martinez"/>
    <s v="Patricia"/>
    <s v="Martinez"/>
    <s v="p.martinez@gmail.com"/>
    <s v="metro honda"/>
    <x v="2"/>
    <x v="1"/>
    <s v="Gasoline"/>
    <s v="1.5L"/>
    <s v="Silver"/>
    <n v="19000"/>
    <n v="2021"/>
    <x v="2"/>
    <x v="2"/>
    <x v="2"/>
    <x v="0"/>
  </r>
  <r>
    <x v="3"/>
    <x v="0"/>
    <x v="0"/>
    <x v="0"/>
    <s v="Subcompact_Compact Car"/>
    <x v="0"/>
    <x v="2"/>
    <s v="Under $25,000"/>
    <s v="Patricia Martinez"/>
    <s v="Patricia"/>
    <s v="Martinez"/>
    <s v="p.martinez@gmail.com"/>
    <s v="metro honda"/>
    <x v="2"/>
    <x v="1"/>
    <s v="Gasoline"/>
    <s v="1.5L"/>
    <s v="Silver"/>
    <n v="19000"/>
    <n v="2021"/>
    <x v="2"/>
    <x v="2"/>
    <x v="2"/>
    <x v="0"/>
  </r>
  <r>
    <x v="4"/>
    <x v="0"/>
    <x v="0"/>
    <x v="0"/>
    <s v="Subcompact_Compact Car"/>
    <x v="0"/>
    <x v="2"/>
    <s v="Under $25,000"/>
    <s v="James Anderson"/>
    <s v="James"/>
    <s v="Anderson"/>
    <s v="james.anderson@email.com"/>
    <s v="Toyota Center"/>
    <x v="0"/>
    <x v="0"/>
    <s v="Hybrid"/>
    <s v="2.5L"/>
    <s v="Blue"/>
    <n v="14000"/>
    <n v="2022"/>
    <x v="2"/>
    <x v="2"/>
    <x v="2"/>
    <x v="0"/>
  </r>
  <r>
    <x v="5"/>
    <x v="0"/>
    <x v="2"/>
    <x v="0"/>
    <s v="Mid_Full-Size Car"/>
    <x v="0"/>
    <x v="3"/>
    <s v="$25K-$39.9K"/>
    <s v="Daniel Harris"/>
    <s v="Daniel"/>
    <s v="Harris"/>
    <s v="d.harris@email.com"/>
    <s v="Ford Country"/>
    <x v="3"/>
    <x v="2"/>
    <s v="Gasoline"/>
    <s v="5.0L"/>
    <s v="Red"/>
    <n v="21000"/>
    <n v="2021"/>
    <x v="2"/>
    <x v="2"/>
    <x v="2"/>
    <x v="0"/>
  </r>
  <r>
    <x v="6"/>
    <x v="0"/>
    <x v="3"/>
    <x v="0"/>
    <s v="Full-Size Car"/>
    <x v="0"/>
    <x v="4"/>
    <s v="$25K-$39.9K"/>
    <s v="Philip Martin"/>
    <s v="Philip"/>
    <s v="Martin"/>
    <s v="p.martin@email.com"/>
    <s v="Toyota Center"/>
    <x v="0"/>
    <x v="0"/>
    <s v="Gasoline"/>
    <s v="3.5L"/>
    <s v="Black"/>
    <n v="17000"/>
    <n v="2021"/>
    <x v="3"/>
    <x v="3"/>
    <x v="3"/>
    <x v="1"/>
  </r>
  <r>
    <x v="7"/>
    <x v="0"/>
    <x v="1"/>
    <x v="1"/>
    <s v="Hybrid"/>
    <x v="1"/>
    <x v="1"/>
    <s v="$25K-$39.9K"/>
    <s v="Gloria Lee"/>
    <s v="Gloria"/>
    <s v="Lee"/>
    <s v="g.lee@gmail.com"/>
    <s v="jeep nation"/>
    <x v="4"/>
    <x v="3"/>
    <s v="Gasoline"/>
    <s v="3.6L"/>
    <s v="Orange"/>
    <n v="11000"/>
    <n v="2023"/>
    <x v="3"/>
    <x v="3"/>
    <x v="3"/>
    <x v="1"/>
  </r>
  <r>
    <x v="8"/>
    <x v="0"/>
    <x v="4"/>
    <x v="2"/>
    <s v="Compact SUV"/>
    <x v="0"/>
    <x v="5"/>
    <s v="$40K-$59.9K"/>
    <s v="Martha Anderson"/>
    <s v="Martha"/>
    <s v="Anderson"/>
    <s v="m.anderson@email.com"/>
    <s v="Toyota Center"/>
    <x v="0"/>
    <x v="0"/>
    <s v="Gasoline"/>
    <s v="5.7L"/>
    <s v="Black"/>
    <n v="28000"/>
    <n v="2019"/>
    <x v="3"/>
    <x v="3"/>
    <x v="3"/>
    <x v="1"/>
  </r>
  <r>
    <x v="9"/>
    <x v="0"/>
    <x v="0"/>
    <x v="0"/>
    <s v="Subcompact_Compact Car"/>
    <x v="0"/>
    <x v="2"/>
    <s v="Under $25,000"/>
    <s v="Sandra Harris"/>
    <s v="Sandra"/>
    <s v="Harris"/>
    <s v="s.harris@email.com"/>
    <s v="Chevy World"/>
    <x v="5"/>
    <x v="2"/>
    <s v="Gasoline"/>
    <s v="5.3L"/>
    <s v="Gray"/>
    <n v="25000"/>
    <n v="2020"/>
    <x v="3"/>
    <x v="3"/>
    <x v="3"/>
    <x v="1"/>
  </r>
  <r>
    <x v="10"/>
    <x v="0"/>
    <x v="5"/>
    <x v="2"/>
    <s v="Mid_Full-Size SUV"/>
    <x v="0"/>
    <x v="6"/>
    <s v="$25K-$39.9K"/>
    <s v="Betty Thompson"/>
    <s v="Betty"/>
    <s v="Thompson"/>
    <s v="b.thompson@email.com"/>
    <s v="metro honda"/>
    <x v="2"/>
    <x v="1"/>
    <s v="Gasoline"/>
    <s v="3.5L"/>
    <s v="Silver"/>
    <n v="22000"/>
    <n v="2021"/>
    <x v="4"/>
    <x v="4"/>
    <x v="4"/>
    <x v="1"/>
  </r>
  <r>
    <x v="11"/>
    <x v="0"/>
    <x v="6"/>
    <x v="2"/>
    <s v="Mid_Full-Size SUV"/>
    <x v="2"/>
    <x v="7"/>
    <s v="$40K-$59.9K"/>
    <s v="Kenneth Garcia"/>
    <s v="Kenneth"/>
    <s v="Garcia"/>
    <s v="k.garcia@email.com"/>
    <s v="Toyota Center"/>
    <x v="0"/>
    <x v="0"/>
    <s v="Hybrid"/>
    <s v="2.5L"/>
    <s v="White"/>
    <n v="15000"/>
    <n v="2022"/>
    <x v="4"/>
    <x v="4"/>
    <x v="4"/>
    <x v="1"/>
  </r>
  <r>
    <x v="12"/>
    <x v="0"/>
    <x v="7"/>
    <x v="0"/>
    <s v="Full-Size Car"/>
    <x v="0"/>
    <x v="8"/>
    <s v="$40K-$59.9K"/>
    <s v="Donald Wilson"/>
    <s v="Donald"/>
    <s v="Wilson"/>
    <s v="d.wilson@email.com"/>
    <s v="Hyundai Plus"/>
    <x v="1"/>
    <x v="0"/>
    <s v="Hydrogen"/>
    <s v="UNKNOWN"/>
    <s v="Blue"/>
    <n v="27000"/>
    <n v="2019"/>
    <x v="4"/>
    <x v="4"/>
    <x v="4"/>
    <x v="1"/>
  </r>
  <r>
    <x v="13"/>
    <x v="0"/>
    <x v="8"/>
    <x v="2"/>
    <s v="Compact SUV"/>
    <x v="0"/>
    <x v="9"/>
    <s v="$25K-$39.9K"/>
    <s v="Michelle Jackson"/>
    <s v="Michelle"/>
    <s v="Jackson"/>
    <s v="m.jackson@gmail.com"/>
    <s v="Toyota Center"/>
    <x v="0"/>
    <x v="0"/>
    <s v="Gasoline"/>
    <s v="4.0L"/>
    <s v="Yellow"/>
    <n v="40000"/>
    <n v="2017"/>
    <x v="4"/>
    <x v="4"/>
    <x v="4"/>
    <x v="1"/>
  </r>
  <r>
    <x v="14"/>
    <x v="0"/>
    <x v="6"/>
    <x v="2"/>
    <s v="Mid_Full-Size SUV"/>
    <x v="2"/>
    <x v="7"/>
    <s v="$40K-$59.9K"/>
    <s v="Angela Harris"/>
    <s v="Angela"/>
    <s v="Harris"/>
    <s v="a.harris@email.com"/>
    <s v="Hyundai Plus"/>
    <x v="1"/>
    <x v="0"/>
    <s v="Gasoline"/>
    <s v="3.8L"/>
    <s v="Black"/>
    <n v="42000"/>
    <n v="2017"/>
    <x v="4"/>
    <x v="4"/>
    <x v="4"/>
    <x v="1"/>
  </r>
  <r>
    <x v="15"/>
    <x v="0"/>
    <x v="9"/>
    <x v="2"/>
    <s v="Compact SUV"/>
    <x v="0"/>
    <x v="10"/>
    <s v="$25K-$39.9K"/>
    <s v="Amy Moore"/>
    <s v="Amy"/>
    <s v="Moore"/>
    <s v="a.moore@email.com"/>
    <s v="Toyota Center"/>
    <x v="0"/>
    <x v="0"/>
    <s v="Gasoline"/>
    <s v="2.7L"/>
    <s v="Silver"/>
    <n v="24000"/>
    <n v="2020"/>
    <x v="5"/>
    <x v="5"/>
    <x v="5"/>
    <x v="1"/>
  </r>
  <r>
    <x v="16"/>
    <x v="0"/>
    <x v="1"/>
    <x v="1"/>
    <s v="Hybrid"/>
    <x v="1"/>
    <x v="1"/>
    <s v="$25K-$39.9K"/>
    <s v="Nicole Anderson"/>
    <s v="Nicole"/>
    <s v="Anderson"/>
    <s v="n.anderson@email.com"/>
    <s v="Hyundai Plus"/>
    <x v="1"/>
    <x v="0"/>
    <s v="Gasoline"/>
    <s v="2.4L"/>
    <s v="Blue"/>
    <n v="31000"/>
    <n v="2019"/>
    <x v="5"/>
    <x v="5"/>
    <x v="5"/>
    <x v="1"/>
  </r>
  <r>
    <x v="17"/>
    <x v="0"/>
    <x v="6"/>
    <x v="2"/>
    <s v="Mid_Full-Size SUV"/>
    <x v="2"/>
    <x v="7"/>
    <s v="$40K-$59.9K"/>
    <s v="Brandon Thomas"/>
    <s v="Brandon"/>
    <s v="Thomas"/>
    <s v="b.thomas@email.com"/>
    <s v="jeep nation"/>
    <x v="4"/>
    <x v="3"/>
    <s v="Gasoline"/>
    <s v="2.4L"/>
    <s v="Green"/>
    <n v="34000"/>
    <n v="2018"/>
    <x v="5"/>
    <x v="5"/>
    <x v="5"/>
    <x v="1"/>
  </r>
  <r>
    <x v="18"/>
    <x v="0"/>
    <x v="6"/>
    <x v="2"/>
    <s v="Mid_Full-Size SUV"/>
    <x v="2"/>
    <x v="7"/>
    <s v="$40K-$59.9K"/>
    <s v="Gregory Martin"/>
    <s v="Gregory"/>
    <s v="Martin"/>
    <s v="g.martin@email.com"/>
    <s v="metro honda"/>
    <x v="2"/>
    <x v="1"/>
    <s v="Gasoline"/>
    <s v="1.5L"/>
    <s v="Blue"/>
    <n v="21000"/>
    <n v="2021"/>
    <x v="5"/>
    <x v="5"/>
    <x v="5"/>
    <x v="1"/>
  </r>
  <r>
    <x v="19"/>
    <x v="0"/>
    <x v="10"/>
    <x v="0"/>
    <s v="Subcompact_Compact Car"/>
    <x v="0"/>
    <x v="11"/>
    <s v="Under $25,000"/>
    <s v="Christina Thompson"/>
    <s v="Christina"/>
    <s v="Thompson"/>
    <s v="c.thompson@email.com"/>
    <s v="Toyota Center"/>
    <x v="0"/>
    <x v="0"/>
    <s v="Gasoline"/>
    <s v="1.5L"/>
    <s v="Red"/>
    <n v="18000"/>
    <n v="2022"/>
    <x v="5"/>
    <x v="5"/>
    <x v="5"/>
    <x v="1"/>
  </r>
  <r>
    <x v="20"/>
    <x v="0"/>
    <x v="11"/>
    <x v="2"/>
    <s v="Compact SUV"/>
    <x v="0"/>
    <x v="12"/>
    <s v="$25K-$39.9K"/>
    <s v="Amanda Jackson"/>
    <s v="Amanda"/>
    <s v="Jackson"/>
    <s v="a.jackson2@gmail.com"/>
    <s v="Toyota Center"/>
    <x v="0"/>
    <x v="0"/>
    <s v="Gasoline"/>
    <s v="2.0L"/>
    <s v="Black"/>
    <n v="18000"/>
    <n v="2022"/>
    <x v="6"/>
    <x v="6"/>
    <x v="6"/>
    <x v="2"/>
  </r>
  <r>
    <x v="21"/>
    <x v="0"/>
    <x v="2"/>
    <x v="0"/>
    <s v="Mid_Full-Size Car"/>
    <x v="0"/>
    <x v="3"/>
    <s v="$25K-$39.9K"/>
    <s v="Brittany Harris"/>
    <s v="Brittany"/>
    <s v="Harris"/>
    <s v="b.harris@email.com"/>
    <s v="Hyundai Plus"/>
    <x v="1"/>
    <x v="0"/>
    <s v="Gasoline"/>
    <s v="2.0L"/>
    <s v="Blue"/>
    <n v="15000"/>
    <n v="2022"/>
    <x v="6"/>
    <x v="6"/>
    <x v="6"/>
    <x v="2"/>
  </r>
  <r>
    <x v="22"/>
    <x v="0"/>
    <x v="5"/>
    <x v="2"/>
    <s v="Mid_Full-Size SUV"/>
    <x v="0"/>
    <x v="6"/>
    <s v="$25K-$39.9K"/>
    <s v="Rachel Lee"/>
    <s v="Rachel"/>
    <s v="Lee"/>
    <s v="r.lee2@gmail.com"/>
    <s v="Tesla Direct"/>
    <x v="6"/>
    <x v="0"/>
    <s v="Electric"/>
    <s v="UNKNOWN"/>
    <s v="Silver"/>
    <n v="2500"/>
    <n v="2024"/>
    <x v="6"/>
    <x v="6"/>
    <x v="6"/>
    <x v="2"/>
  </r>
  <r>
    <x v="23"/>
    <x v="0"/>
    <x v="1"/>
    <x v="1"/>
    <s v="Hybrid"/>
    <x v="1"/>
    <x v="1"/>
    <s v="$25K-$39.9K"/>
    <s v="Sean Wilson"/>
    <s v="Sean"/>
    <s v="Wilson"/>
    <s v="s.wilson@email.com"/>
    <s v="metro honda"/>
    <x v="2"/>
    <x v="1"/>
    <s v="Hybrid"/>
    <s v="1.5L"/>
    <s v="White"/>
    <n v="11000"/>
    <n v="2023"/>
    <x v="6"/>
    <x v="6"/>
    <x v="6"/>
    <x v="2"/>
  </r>
  <r>
    <x v="24"/>
    <x v="0"/>
    <x v="7"/>
    <x v="0"/>
    <s v="Full-Size Car"/>
    <x v="0"/>
    <x v="8"/>
    <s v="$40K-$59.9K"/>
    <s v="Courtney Moore"/>
    <s v="Courtney"/>
    <s v="Moore"/>
    <s v="c.moore@email.com"/>
    <s v="Toyota Center"/>
    <x v="0"/>
    <x v="0"/>
    <s v="Hydrogen"/>
    <s v="UNKNOWN"/>
    <s v="Blue"/>
    <n v="5000"/>
    <n v="2024"/>
    <x v="6"/>
    <x v="6"/>
    <x v="6"/>
    <x v="2"/>
  </r>
  <r>
    <x v="25"/>
    <x v="0"/>
    <x v="5"/>
    <x v="2"/>
    <s v="Mid_Full-Size SUV"/>
    <x v="0"/>
    <x v="6"/>
    <s v="$25K-$39.9K"/>
    <s v="Devin Thomas"/>
    <s v="Devin"/>
    <s v="Thomas"/>
    <s v="d.thomas2@email.com"/>
    <s v="jeep nation"/>
    <x v="4"/>
    <x v="3"/>
    <s v="Hybrid"/>
    <s v="2.0L"/>
    <s v="Black"/>
    <n v="6000"/>
    <n v="2024"/>
    <x v="6"/>
    <x v="6"/>
    <x v="6"/>
    <x v="2"/>
  </r>
  <r>
    <x v="26"/>
    <x v="0"/>
    <x v="6"/>
    <x v="2"/>
    <s v="Mid_Full-Size SUV"/>
    <x v="2"/>
    <x v="7"/>
    <s v="$40K-$59.9K"/>
    <s v="Jenna Thompson"/>
    <s v="Jenna"/>
    <s v="Thompson"/>
    <s v="j.thompson3@email.com"/>
    <s v="Toyota Center"/>
    <x v="0"/>
    <x v="0"/>
    <s v="Electric"/>
    <s v="UNKNOWN"/>
    <s v="Blue"/>
    <n v="4500"/>
    <n v="2024"/>
    <x v="7"/>
    <x v="7"/>
    <x v="7"/>
    <x v="2"/>
  </r>
  <r>
    <x v="27"/>
    <x v="0"/>
    <x v="2"/>
    <x v="0"/>
    <s v="Mid_Full-Size Car"/>
    <x v="0"/>
    <x v="3"/>
    <s v="$25K-$39.9K"/>
    <s v="Cameron Garcia"/>
    <s v="Cameron"/>
    <s v="Garcia"/>
    <s v="c.garcia2@email.com"/>
    <s v="Nissan Direct"/>
    <x v="7"/>
    <x v="3"/>
    <s v="Electric"/>
    <s v="UNKNOWN"/>
    <s v="Black"/>
    <n v="3500"/>
    <n v="2024"/>
    <x v="7"/>
    <x v="7"/>
    <x v="7"/>
    <x v="2"/>
  </r>
  <r>
    <x v="28"/>
    <x v="0"/>
    <x v="7"/>
    <x v="0"/>
    <s v="Full-Size Car"/>
    <x v="0"/>
    <x v="8"/>
    <s v="$40K-$59.9K"/>
    <s v="Sierra Jackson"/>
    <s v="Sierra"/>
    <s v="Jackson"/>
    <s v="s.jackson2@gmail.com"/>
    <s v="Toyota Center"/>
    <x v="0"/>
    <x v="0"/>
    <s v="Hydrogen"/>
    <s v="UNKNOWN"/>
    <s v="Yellow"/>
    <n v="6000"/>
    <n v="2023"/>
    <x v="7"/>
    <x v="7"/>
    <x v="7"/>
    <x v="2"/>
  </r>
  <r>
    <x v="29"/>
    <x v="0"/>
    <x v="2"/>
    <x v="0"/>
    <s v="Mid_Full-Size Car"/>
    <x v="0"/>
    <x v="3"/>
    <s v="$25K-$39.9K"/>
    <s v="Parker White"/>
    <s v="Parker"/>
    <s v="White"/>
    <s v="p.white@email.com"/>
    <s v="Nissan Direct"/>
    <x v="7"/>
    <x v="3"/>
    <s v="Gasoline"/>
    <s v="3.0L"/>
    <s v="Silver"/>
    <n v="4000"/>
    <n v="2024"/>
    <x v="7"/>
    <x v="7"/>
    <x v="7"/>
    <x v="2"/>
  </r>
  <r>
    <x v="30"/>
    <x v="0"/>
    <x v="6"/>
    <x v="2"/>
    <s v="Mid_Full-Size SUV"/>
    <x v="2"/>
    <x v="7"/>
    <s v="$40K-$59.9K"/>
    <s v="Hunter Martin"/>
    <s v="Hunter"/>
    <s v="Martin"/>
    <s v="h.martin@gmail.com"/>
    <s v="jeep nation"/>
    <x v="4"/>
    <x v="3"/>
    <s v="Gasoline"/>
    <s v="5.7L"/>
    <s v="Black"/>
    <n v="8000"/>
    <n v="2023"/>
    <x v="7"/>
    <x v="7"/>
    <x v="7"/>
    <x v="2"/>
  </r>
  <r>
    <x v="31"/>
    <x v="0"/>
    <x v="7"/>
    <x v="0"/>
    <s v="Full-Size Car"/>
    <x v="0"/>
    <x v="8"/>
    <s v="$40K-$59.9K"/>
    <s v="Brooke Moore"/>
    <s v="Brooke"/>
    <s v="Moore"/>
    <s v="b.moore@email.com"/>
    <s v="Toyota Center"/>
    <x v="0"/>
    <x v="0"/>
    <s v="Hydrogen"/>
    <s v="UNKNOWN"/>
    <s v="Blue"/>
    <n v="3000"/>
    <n v="2024"/>
    <x v="8"/>
    <x v="8"/>
    <x v="8"/>
    <x v="2"/>
  </r>
  <r>
    <x v="32"/>
    <x v="0"/>
    <x v="5"/>
    <x v="2"/>
    <s v="Mid_Full-Size SUV"/>
    <x v="0"/>
    <x v="6"/>
    <s v="$25K-$39.9K"/>
    <s v="Peyton Anderson"/>
    <s v="Peyton"/>
    <s v="Anderson"/>
    <s v="p.anderson2@email.com"/>
    <s v="Hyundai Plus"/>
    <x v="1"/>
    <x v="0"/>
    <s v="Gasoline"/>
    <s v="3.3L"/>
    <s v="Silver"/>
    <n v="3500"/>
    <n v="2024"/>
    <x v="8"/>
    <x v="8"/>
    <x v="8"/>
    <x v="2"/>
  </r>
  <r>
    <x v="33"/>
    <x v="0"/>
    <x v="2"/>
    <x v="0"/>
    <s v="Mid_Full-Size Car"/>
    <x v="0"/>
    <x v="3"/>
    <s v="$25K-$39.9K"/>
    <s v="Bryce Thomas"/>
    <s v="Bryce"/>
    <s v="Thomas"/>
    <s v="b.thomas2@email.com"/>
    <s v="jeep nation"/>
    <x v="4"/>
    <x v="3"/>
    <s v="Gasoline"/>
    <s v="6.4L"/>
    <s v="Gray"/>
    <n v="5000"/>
    <n v="2024"/>
    <x v="8"/>
    <x v="8"/>
    <x v="8"/>
    <x v="2"/>
  </r>
  <r>
    <x v="34"/>
    <x v="1"/>
    <x v="12"/>
    <x v="0"/>
    <s v="Subcompact_Compact Car"/>
    <x v="0"/>
    <x v="0"/>
    <s v="Under $25,000"/>
    <s v="John Smith"/>
    <s v="John"/>
    <s v="Smith"/>
    <s v="john.smith@email.com"/>
    <s v="metro honda"/>
    <x v="2"/>
    <x v="1"/>
    <s v="Gasoline"/>
    <s v="1.5L"/>
    <s v="Blue"/>
    <n v="15000"/>
    <n v="2021"/>
    <x v="0"/>
    <x v="0"/>
    <x v="0"/>
    <x v="0"/>
  </r>
  <r>
    <x v="35"/>
    <x v="2"/>
    <x v="13"/>
    <x v="0"/>
    <s v="Full-Size Car"/>
    <x v="0"/>
    <x v="13"/>
    <s v="$25K-$39.9K"/>
    <s v="Mike Davis"/>
    <s v="Mike"/>
    <s v="Davis"/>
    <s v="m.davis@yahoo.com"/>
    <m/>
    <x v="8"/>
    <x v="1"/>
    <s v="Gasoline"/>
    <s v="2.5L"/>
    <s v="Silver"/>
    <n v="22000"/>
    <n v="2020"/>
    <x v="1"/>
    <x v="1"/>
    <x v="1"/>
    <x v="0"/>
  </r>
  <r>
    <x v="36"/>
    <x v="3"/>
    <x v="14"/>
    <x v="0"/>
    <s v="Subcompact_Compact Car"/>
    <x v="0"/>
    <x v="14"/>
    <s v="Under $25,000"/>
    <s v="Lisa Chen"/>
    <s v="Lisa"/>
    <s v="Chen"/>
    <s v="lisa.chen@outlook.com"/>
    <s v="Hyundai Plus"/>
    <x v="1"/>
    <x v="0"/>
    <s v="Gasoline"/>
    <s v="2.0L"/>
    <s v="Red"/>
    <n v="12000"/>
    <n v="2022"/>
    <x v="1"/>
    <x v="1"/>
    <x v="1"/>
    <x v="0"/>
  </r>
  <r>
    <x v="37"/>
    <x v="4"/>
    <x v="15"/>
    <x v="2"/>
    <s v="Compact SUV"/>
    <x v="0"/>
    <x v="15"/>
    <s v="$25K-$39.9K"/>
    <s v="Amanda Taylor"/>
    <s v="Amanda"/>
    <s v="Taylor"/>
    <s v="a.taylor@gmail.com"/>
    <s v="jeep nation"/>
    <x v="4"/>
    <x v="3"/>
    <s v="Gasoline"/>
    <s v="3.6L"/>
    <s v="Gray"/>
    <n v="35000"/>
    <n v="2020"/>
    <x v="1"/>
    <x v="1"/>
    <x v="1"/>
    <x v="0"/>
  </r>
  <r>
    <x v="38"/>
    <x v="5"/>
    <x v="16"/>
    <x v="0"/>
    <s v="Full-Size Car"/>
    <x v="2"/>
    <x v="16"/>
    <s v="$60K-$89.9K"/>
    <s v="Michael Rodriguez"/>
    <s v="Michael"/>
    <s v="Rodriguez"/>
    <s v="mrodriguez@email.com"/>
    <s v="Tesla Direct"/>
    <x v="6"/>
    <x v="0"/>
    <s v="Electric"/>
    <s v="UNKNOWN"/>
    <s v="Red"/>
    <n v="8000"/>
    <n v="2023"/>
    <x v="2"/>
    <x v="2"/>
    <x v="2"/>
    <x v="0"/>
  </r>
  <r>
    <x v="39"/>
    <x v="2"/>
    <x v="13"/>
    <x v="0"/>
    <s v="Full-Size Car"/>
    <x v="0"/>
    <x v="17"/>
    <s v="$25K-$39.9K"/>
    <s v="Mary Thomas"/>
    <s v="Mary"/>
    <s v="Thomas"/>
    <s v="mthomas@email.com"/>
    <s v="Nissan Direct"/>
    <x v="7"/>
    <x v="3"/>
    <s v="Gasoline"/>
    <s v="2.5L"/>
    <s v="UNKNOWN"/>
    <n v="26000"/>
    <n v="2020"/>
    <x v="2"/>
    <x v="2"/>
    <x v="2"/>
    <x v="0"/>
  </r>
  <r>
    <x v="40"/>
    <x v="4"/>
    <x v="15"/>
    <x v="2"/>
    <s v="Compact SUV"/>
    <x v="0"/>
    <x v="18"/>
    <s v="$40K-$59.9K"/>
    <s v="Elizabeth White"/>
    <s v="Elizabeth"/>
    <s v="White"/>
    <s v="e.white@email.com"/>
    <s v="jeep nation"/>
    <x v="4"/>
    <x v="3"/>
    <s v="Gasoline"/>
    <s v="3.6L"/>
    <s v="Black"/>
    <n v="29000"/>
    <n v="2020"/>
    <x v="2"/>
    <x v="2"/>
    <x v="2"/>
    <x v="0"/>
  </r>
  <r>
    <x v="41"/>
    <x v="3"/>
    <x v="17"/>
    <x v="0"/>
    <s v="Subcompact_Compact Car"/>
    <x v="0"/>
    <x v="19"/>
    <s v="Under $25,000"/>
    <s v="Bobby Garcia"/>
    <s v="Bobby"/>
    <s v="Garcia"/>
    <s v="b.garcia@email.com"/>
    <s v="Hyundai Plus"/>
    <x v="1"/>
    <x v="0"/>
    <s v="Gasoline"/>
    <s v="1.6L"/>
    <s v="Red"/>
    <n v="14000"/>
    <n v="2022"/>
    <x v="3"/>
    <x v="3"/>
    <x v="3"/>
    <x v="1"/>
  </r>
  <r>
    <x v="42"/>
    <x v="6"/>
    <x v="18"/>
    <x v="0"/>
    <s v="Full-Size Car"/>
    <x v="2"/>
    <x v="20"/>
    <s v="$60K-$89.9K"/>
    <s v="Keith Wilson"/>
    <s v="Keith"/>
    <s v="Wilson"/>
    <s v="k.wilson@email.com"/>
    <s v="BMW Elite"/>
    <x v="9"/>
    <x v="1"/>
    <s v="Gasoline"/>
    <s v="3.0L"/>
    <s v="Gray"/>
    <n v="26000"/>
    <n v="2020"/>
    <x v="3"/>
    <x v="3"/>
    <x v="3"/>
    <x v="1"/>
  </r>
  <r>
    <x v="43"/>
    <x v="2"/>
    <x v="19"/>
    <x v="2"/>
    <s v="Compact SUV"/>
    <x v="0"/>
    <x v="21"/>
    <s v="$40K-$59.9K"/>
    <s v="Terry Thomas"/>
    <s v="Terry"/>
    <s v="Thomas"/>
    <s v="t.thomas@email.com"/>
    <s v="Nissan Direct"/>
    <x v="7"/>
    <x v="3"/>
    <s v="Gasoline"/>
    <s v="5.6L"/>
    <s v="Blue"/>
    <n v="30000"/>
    <n v="2020"/>
    <x v="3"/>
    <x v="3"/>
    <x v="3"/>
    <x v="1"/>
  </r>
  <r>
    <x v="44"/>
    <x v="7"/>
    <x v="20"/>
    <x v="2"/>
    <s v="Compact SUV"/>
    <x v="0"/>
    <x v="15"/>
    <s v="$25K-$39.9K"/>
    <s v="Gerald White"/>
    <s v="Gerald"/>
    <s v="White"/>
    <s v="g.white@email.com"/>
    <s v="Ford Country"/>
    <x v="3"/>
    <x v="2"/>
    <s v="Gasoline"/>
    <s v="2.3L"/>
    <s v="Green"/>
    <n v="9000"/>
    <n v="2023"/>
    <x v="3"/>
    <x v="3"/>
    <x v="3"/>
    <x v="1"/>
  </r>
  <r>
    <x v="45"/>
    <x v="6"/>
    <x v="21"/>
    <x v="3"/>
    <s v="Luxury Coupe"/>
    <x v="2"/>
    <x v="22"/>
    <s v="$90K-$129.9K"/>
    <s v="Paul Martin"/>
    <s v="Paul"/>
    <s v="Martin"/>
    <s v="p.martin2@email.com"/>
    <s v="BMW Elite"/>
    <x v="9"/>
    <x v="1"/>
    <s v="Gasoline"/>
    <s v="3.0L"/>
    <s v="Blue"/>
    <n v="18000"/>
    <n v="2022"/>
    <x v="3"/>
    <x v="3"/>
    <x v="3"/>
    <x v="1"/>
  </r>
  <r>
    <x v="46"/>
    <x v="4"/>
    <x v="22"/>
    <x v="2"/>
    <s v="Compact SUV"/>
    <x v="0"/>
    <x v="14"/>
    <s v="Under $25,000"/>
    <s v="Matthew Martin"/>
    <s v="Matthew"/>
    <s v="Martin"/>
    <s v="m.martin@gmail.com"/>
    <s v="jeep nation"/>
    <x v="4"/>
    <x v="3"/>
    <s v="Gasoline"/>
    <s v="3.7L"/>
    <s v="Silver"/>
    <n v="45000"/>
    <n v="2016"/>
    <x v="4"/>
    <x v="4"/>
    <x v="4"/>
    <x v="1"/>
  </r>
  <r>
    <x v="47"/>
    <x v="8"/>
    <x v="23"/>
    <x v="2"/>
    <s v="Compact SUV"/>
    <x v="0"/>
    <x v="23"/>
    <s v="$25K-$39.9K"/>
    <s v="Zachary White"/>
    <s v="Zachary"/>
    <s v="White"/>
    <s v="z.white@email.com"/>
    <s v="Chevy World"/>
    <x v="5"/>
    <x v="2"/>
    <s v="Gasoline"/>
    <s v="2.5L"/>
    <s v="Black"/>
    <n v="25000"/>
    <n v="2020"/>
    <x v="5"/>
    <x v="5"/>
    <x v="5"/>
    <x v="1"/>
  </r>
  <r>
    <x v="48"/>
    <x v="7"/>
    <x v="24"/>
    <x v="2"/>
    <s v="Compact SUV"/>
    <x v="0"/>
    <x v="14"/>
    <s v="Under $25,000"/>
    <s v="Megan Moore"/>
    <s v="Megan"/>
    <s v="Moore"/>
    <s v="m.moore2@email.com"/>
    <s v="Ford Country"/>
    <x v="3"/>
    <x v="2"/>
    <s v="Gasoline"/>
    <s v="1.0L"/>
    <s v="White"/>
    <n v="19000"/>
    <n v="2021"/>
    <x v="5"/>
    <x v="5"/>
    <x v="5"/>
    <x v="1"/>
  </r>
  <r>
    <x v="49"/>
    <x v="4"/>
    <x v="25"/>
    <x v="2"/>
    <s v="Compact SUV"/>
    <x v="0"/>
    <x v="24"/>
    <s v="$25K-$39.9K"/>
    <s v="Tyler Martin"/>
    <s v="Tyler"/>
    <s v="Martin"/>
    <s v="t.martin@gmail.com"/>
    <s v="jeep nation"/>
    <x v="4"/>
    <x v="3"/>
    <s v="Gasoline"/>
    <s v="1.3L"/>
    <s v="Silver"/>
    <n v="13000"/>
    <n v="2023"/>
    <x v="6"/>
    <x v="6"/>
    <x v="6"/>
    <x v="2"/>
  </r>
  <r>
    <x v="50"/>
    <x v="8"/>
    <x v="26"/>
    <x v="0"/>
    <s v="Full-Size Car"/>
    <x v="0"/>
    <x v="25"/>
    <s v="$25K-$39.9K"/>
    <s v="Marcus White"/>
    <s v="Marcus"/>
    <s v="White"/>
    <s v="m.white@email.com"/>
    <s v="Chevy World"/>
    <x v="5"/>
    <x v="2"/>
    <s v="Electric"/>
    <s v="UNKNOWN"/>
    <s v="Red"/>
    <n v="8000"/>
    <n v="2023"/>
    <x v="6"/>
    <x v="6"/>
    <x v="6"/>
    <x v="2"/>
  </r>
  <r>
    <x v="51"/>
    <x v="3"/>
    <x v="27"/>
    <x v="0"/>
    <s v="Full-Size Car"/>
    <x v="0"/>
    <x v="26"/>
    <s v="$25K-$39.9K"/>
    <s v="Savannah Harris"/>
    <s v="Savannah"/>
    <s v="Harris"/>
    <s v="s.harris3@email.com"/>
    <s v="Hyundai Plus"/>
    <x v="1"/>
    <x v="0"/>
    <s v="Gasoline"/>
    <s v="2.0L"/>
    <s v="Red"/>
    <n v="5000"/>
    <n v="2024"/>
    <x v="7"/>
    <x v="7"/>
    <x v="7"/>
    <x v="2"/>
  </r>
  <r>
    <x v="52"/>
    <x v="7"/>
    <x v="28"/>
    <x v="2"/>
    <s v="Compact SUV"/>
    <x v="0"/>
    <x v="27"/>
    <s v="$25K-$39.9K"/>
    <s v="Destiny Thompson"/>
    <s v="Destiny"/>
    <s v="Thompson"/>
    <s v="d.thompson2@email.com"/>
    <s v="Ford Country"/>
    <x v="3"/>
    <x v="2"/>
    <s v="Gasoline"/>
    <s v="1.5L"/>
    <s v="Green"/>
    <n v="9000"/>
    <n v="2023"/>
    <x v="7"/>
    <x v="7"/>
    <x v="7"/>
    <x v="2"/>
  </r>
  <r>
    <x v="53"/>
    <x v="6"/>
    <x v="29"/>
    <x v="0"/>
    <s v="Full-Size Car"/>
    <x v="2"/>
    <x v="28"/>
    <s v="$60K-$89.9K"/>
    <s v="Autumn Lee"/>
    <s v="Autumn"/>
    <s v="Lee"/>
    <s v="a.lee@gmail.com"/>
    <s v="BMW Elite"/>
    <x v="9"/>
    <x v="1"/>
    <s v="Gasoline"/>
    <s v="3.0L"/>
    <s v="White"/>
    <n v="6000"/>
    <n v="2023"/>
    <x v="8"/>
    <x v="8"/>
    <x v="8"/>
    <x v="2"/>
  </r>
  <r>
    <x v="54"/>
    <x v="2"/>
    <x v="30"/>
    <x v="3"/>
    <s v="Other"/>
    <x v="0"/>
    <x v="29"/>
    <s v="$90K-$129.9K"/>
    <s v="Easton Taylor"/>
    <s v="Easton"/>
    <s v="Taylor"/>
    <s v="e.taylor@gmail.com"/>
    <s v="Nissan Direct"/>
    <x v="7"/>
    <x v="3"/>
    <s v="Gasoline"/>
    <s v="3.8L"/>
    <s v="Black"/>
    <n v="2500"/>
    <n v="2024"/>
    <x v="8"/>
    <x v="8"/>
    <x v="8"/>
    <x v="2"/>
  </r>
  <r>
    <x v="55"/>
    <x v="4"/>
    <x v="15"/>
    <x v="2"/>
    <s v="Compact SUV"/>
    <x v="0"/>
    <x v="18"/>
    <s v="$40K-$59.9K"/>
    <s v="Elizabeth White"/>
    <s v="Elizabeth"/>
    <s v="White"/>
    <s v="e.white@email.com"/>
    <s v="jeep nation"/>
    <x v="4"/>
    <x v="3"/>
    <s v="Gasoline"/>
    <s v="3.6L"/>
    <s v="Black"/>
    <n v="29000"/>
    <n v="2020"/>
    <x v="2"/>
    <x v="2"/>
    <x v="2"/>
    <x v="0"/>
  </r>
  <r>
    <x v="56"/>
    <x v="7"/>
    <x v="24"/>
    <x v="2"/>
    <s v="Compact SUV"/>
    <x v="0"/>
    <x v="14"/>
    <s v="Under $25,000"/>
    <s v="Megan Moore"/>
    <s v="Megan"/>
    <s v="Moore"/>
    <s v="m.moore2@email.com"/>
    <s v="Ford Country"/>
    <x v="3"/>
    <x v="2"/>
    <s v="Gasoline"/>
    <s v="1.0L"/>
    <s v="White"/>
    <n v="19000"/>
    <n v="2021"/>
    <x v="5"/>
    <x v="5"/>
    <x v="5"/>
    <x v="1"/>
  </r>
  <r>
    <x v="57"/>
    <x v="2"/>
    <x v="19"/>
    <x v="2"/>
    <s v="Compact SUV"/>
    <x v="0"/>
    <x v="21"/>
    <s v="$40K-$59.9K"/>
    <s v="Terry Thomas"/>
    <s v="Terry"/>
    <s v="Thomas"/>
    <s v="t.thomas@email.com"/>
    <s v="Nissan Direct"/>
    <x v="7"/>
    <x v="3"/>
    <s v="Gasoline"/>
    <s v="5.6L"/>
    <s v="Blue"/>
    <n v="30000"/>
    <n v="2020"/>
    <x v="3"/>
    <x v="3"/>
    <x v="3"/>
    <x v="1"/>
  </r>
  <r>
    <x v="58"/>
    <x v="4"/>
    <x v="25"/>
    <x v="2"/>
    <s v="Compact SUV"/>
    <x v="0"/>
    <x v="24"/>
    <s v="$25K-$39.9K"/>
    <s v="Tyler Martin"/>
    <s v="Tyler"/>
    <s v="Martin"/>
    <s v="t.martin@gmail.com"/>
    <s v="jeep nation"/>
    <x v="4"/>
    <x v="3"/>
    <s v="Gasoline"/>
    <s v="1.3L"/>
    <s v="Silver"/>
    <n v="13000"/>
    <n v="2023"/>
    <x v="6"/>
    <x v="6"/>
    <x v="6"/>
    <x v="2"/>
  </r>
  <r>
    <x v="59"/>
    <x v="4"/>
    <x v="15"/>
    <x v="2"/>
    <s v="Compact SUV"/>
    <x v="0"/>
    <x v="18"/>
    <s v="$40K-$59.9K"/>
    <s v="Elizabeth White"/>
    <s v="Elizabeth"/>
    <s v="White"/>
    <s v="e.white@email.com"/>
    <s v="jeep nation"/>
    <x v="4"/>
    <x v="3"/>
    <s v="Gasoline"/>
    <s v="3.6L"/>
    <s v="Black"/>
    <n v="29000"/>
    <n v="2020"/>
    <x v="2"/>
    <x v="2"/>
    <x v="2"/>
    <x v="0"/>
  </r>
  <r>
    <x v="60"/>
    <x v="2"/>
    <x v="30"/>
    <x v="3"/>
    <s v="Other"/>
    <x v="0"/>
    <x v="29"/>
    <s v="$90K-$129.9K"/>
    <s v="Easton Taylor"/>
    <s v="Easton"/>
    <s v="Taylor"/>
    <s v="e.taylor@gmail.com"/>
    <s v="Nissan Direct"/>
    <x v="7"/>
    <x v="3"/>
    <s v="Gasoline"/>
    <s v="3.8L"/>
    <s v="Black"/>
    <n v="2500"/>
    <n v="2024"/>
    <x v="8"/>
    <x v="8"/>
    <x v="8"/>
    <x v="2"/>
  </r>
  <r>
    <x v="61"/>
    <x v="8"/>
    <x v="23"/>
    <x v="2"/>
    <s v="Compact SUV"/>
    <x v="0"/>
    <x v="23"/>
    <s v="$25K-$39.9K"/>
    <s v="Zachary White"/>
    <s v="Zachary"/>
    <s v="White"/>
    <s v="z.white@email.com"/>
    <s v="Chevy World"/>
    <x v="5"/>
    <x v="2"/>
    <s v="Gasoline"/>
    <s v="2.5L"/>
    <s v="Black"/>
    <n v="25000"/>
    <n v="2020"/>
    <x v="5"/>
    <x v="5"/>
    <x v="5"/>
    <x v="1"/>
  </r>
  <r>
    <x v="62"/>
    <x v="3"/>
    <x v="27"/>
    <x v="0"/>
    <s v="Full-Size Car"/>
    <x v="0"/>
    <x v="26"/>
    <s v="$25K-$39.9K"/>
    <s v="Savannah Harris"/>
    <s v="Savannah"/>
    <s v="Harris"/>
    <s v="s.harris3@email.com"/>
    <s v="Hyundai Plus"/>
    <x v="1"/>
    <x v="0"/>
    <s v="Gasoline"/>
    <s v="2.0L"/>
    <s v="Red"/>
    <n v="5000"/>
    <n v="2024"/>
    <x v="7"/>
    <x v="7"/>
    <x v="7"/>
    <x v="2"/>
  </r>
  <r>
    <x v="63"/>
    <x v="7"/>
    <x v="28"/>
    <x v="2"/>
    <s v="Compact SUV"/>
    <x v="0"/>
    <x v="27"/>
    <s v="$25K-$39.9K"/>
    <s v="Destiny Thompson"/>
    <s v="Destiny"/>
    <s v="Thompson"/>
    <s v="d.thompson2@email.com"/>
    <s v="Ford Country"/>
    <x v="3"/>
    <x v="2"/>
    <s v="Gasoline"/>
    <s v="1.5L"/>
    <s v="Green"/>
    <n v="9000"/>
    <n v="2023"/>
    <x v="7"/>
    <x v="7"/>
    <x v="7"/>
    <x v="2"/>
  </r>
  <r>
    <x v="64"/>
    <x v="4"/>
    <x v="25"/>
    <x v="2"/>
    <s v="Compact SUV"/>
    <x v="0"/>
    <x v="24"/>
    <s v="$25K-$39.9K"/>
    <s v="Tyler Martin"/>
    <s v="Tyler"/>
    <s v="Martin"/>
    <s v="t.martin@gmail.com"/>
    <s v="jeep nation"/>
    <x v="4"/>
    <x v="3"/>
    <s v="Gasoline"/>
    <s v="1.3L"/>
    <s v="Silver"/>
    <n v="13000"/>
    <n v="2023"/>
    <x v="6"/>
    <x v="6"/>
    <x v="6"/>
    <x v="2"/>
  </r>
  <r>
    <x v="65"/>
    <x v="4"/>
    <x v="15"/>
    <x v="2"/>
    <s v="Compact SUV"/>
    <x v="0"/>
    <x v="15"/>
    <s v="$25K-$39.9K"/>
    <s v="Amanda Taylor"/>
    <s v="Amanda"/>
    <s v="Taylor"/>
    <s v="a.taylor@gmail.com"/>
    <s v="jeep nation"/>
    <x v="4"/>
    <x v="3"/>
    <s v="Gasoline"/>
    <s v="3.6L"/>
    <s v="Gray"/>
    <n v="35000"/>
    <n v="2020"/>
    <x v="1"/>
    <x v="1"/>
    <x v="1"/>
    <x v="0"/>
  </r>
  <r>
    <x v="66"/>
    <x v="7"/>
    <x v="28"/>
    <x v="2"/>
    <s v="Compact SUV"/>
    <x v="0"/>
    <x v="27"/>
    <s v="$25K-$39.9K"/>
    <s v="Destiny Thompson"/>
    <s v="Destiny"/>
    <s v="Thompson"/>
    <s v="d.thompson2@email.com"/>
    <s v="Ford Country"/>
    <x v="3"/>
    <x v="2"/>
    <s v="Gasoline"/>
    <s v="1.5L"/>
    <s v="Green"/>
    <n v="9000"/>
    <n v="2023"/>
    <x v="7"/>
    <x v="7"/>
    <x v="7"/>
    <x v="2"/>
  </r>
  <r>
    <x v="67"/>
    <x v="3"/>
    <x v="14"/>
    <x v="0"/>
    <s v="Subcompact_Compact Car"/>
    <x v="0"/>
    <x v="14"/>
    <s v="Under $25,000"/>
    <s v="Lisa Chen"/>
    <s v="Lisa"/>
    <s v="Chen"/>
    <s v="lisa.chen@outlook.com"/>
    <s v="Hyundai Plus"/>
    <x v="1"/>
    <x v="0"/>
    <s v="Gasoline"/>
    <s v="2.0L"/>
    <s v="Red"/>
    <n v="12000"/>
    <n v="2022"/>
    <x v="1"/>
    <x v="1"/>
    <x v="1"/>
    <x v="0"/>
  </r>
  <r>
    <x v="68"/>
    <x v="8"/>
    <x v="26"/>
    <x v="0"/>
    <s v="Full-Size Car"/>
    <x v="0"/>
    <x v="25"/>
    <s v="$25K-$39.9K"/>
    <s v="Marcus White"/>
    <s v="Marcus"/>
    <s v="White"/>
    <s v="m.white@email.com"/>
    <s v="Chevy World"/>
    <x v="5"/>
    <x v="2"/>
    <s v="Electric"/>
    <s v="UNKNOWN"/>
    <s v="Red"/>
    <n v="8000"/>
    <n v="2023"/>
    <x v="6"/>
    <x v="6"/>
    <x v="6"/>
    <x v="2"/>
  </r>
  <r>
    <x v="69"/>
    <x v="4"/>
    <x v="25"/>
    <x v="2"/>
    <s v="Compact SUV"/>
    <x v="0"/>
    <x v="24"/>
    <s v="$25K-$39.9K"/>
    <s v="Tyler Martin"/>
    <s v="Tyler"/>
    <s v="Martin"/>
    <s v="t.martin@gmail.com"/>
    <s v="jeep nation"/>
    <x v="4"/>
    <x v="3"/>
    <s v="Gasoline"/>
    <s v="1.3L"/>
    <s v="Silver"/>
    <n v="13000"/>
    <n v="2023"/>
    <x v="6"/>
    <x v="6"/>
    <x v="6"/>
    <x v="2"/>
  </r>
  <r>
    <x v="70"/>
    <x v="2"/>
    <x v="13"/>
    <x v="0"/>
    <s v="Full-Size Car"/>
    <x v="0"/>
    <x v="13"/>
    <s v="$25K-$39.9K"/>
    <s v="Mike Davis"/>
    <s v="Mike"/>
    <s v="Davis"/>
    <s v="m.davis@yahoo.com"/>
    <m/>
    <x v="8"/>
    <x v="1"/>
    <s v="Gasoline"/>
    <s v="2.5L"/>
    <s v="Silver"/>
    <n v="22000"/>
    <n v="2020"/>
    <x v="1"/>
    <x v="1"/>
    <x v="1"/>
    <x v="0"/>
  </r>
  <r>
    <x v="71"/>
    <x v="7"/>
    <x v="28"/>
    <x v="2"/>
    <s v="Compact SUV"/>
    <x v="0"/>
    <x v="27"/>
    <s v="$25K-$39.9K"/>
    <s v="Destiny Thompson"/>
    <s v="Destiny"/>
    <s v="Thompson"/>
    <s v="d.thompson2@email.com"/>
    <s v="Ford Country"/>
    <x v="3"/>
    <x v="2"/>
    <s v="Gasoline"/>
    <s v="1.5L"/>
    <s v="Green"/>
    <n v="9000"/>
    <n v="2023"/>
    <x v="7"/>
    <x v="7"/>
    <x v="7"/>
    <x v="2"/>
  </r>
  <r>
    <x v="72"/>
    <x v="2"/>
    <x v="13"/>
    <x v="0"/>
    <s v="Full-Size Car"/>
    <x v="0"/>
    <x v="17"/>
    <s v="$25K-$39.9K"/>
    <s v="Mary Thomas"/>
    <s v="Mary"/>
    <s v="Thomas"/>
    <s v="mthomas@email.com"/>
    <s v="Nissan Direct"/>
    <x v="7"/>
    <x v="3"/>
    <s v="Gasoline"/>
    <s v="2.5L"/>
    <s v="UNKNOWN"/>
    <n v="26000"/>
    <n v="2020"/>
    <x v="2"/>
    <x v="2"/>
    <x v="2"/>
    <x v="0"/>
  </r>
  <r>
    <x v="73"/>
    <x v="2"/>
    <x v="13"/>
    <x v="0"/>
    <s v="Full-Size Car"/>
    <x v="0"/>
    <x v="13"/>
    <s v="$25K-$39.9K"/>
    <s v="Mike Davis"/>
    <s v="Mike"/>
    <s v="Davis"/>
    <s v="m.davis@yahoo.com"/>
    <m/>
    <x v="8"/>
    <x v="1"/>
    <s v="Gasoline"/>
    <s v="2.5L"/>
    <s v="Silver"/>
    <n v="22000"/>
    <n v="2020"/>
    <x v="1"/>
    <x v="1"/>
    <x v="1"/>
    <x v="0"/>
  </r>
  <r>
    <x v="74"/>
    <x v="4"/>
    <x v="25"/>
    <x v="2"/>
    <s v="Compact SUV"/>
    <x v="0"/>
    <x v="24"/>
    <s v="$25K-$39.9K"/>
    <s v="Tyler Martin"/>
    <s v="Tyler"/>
    <s v="Martin"/>
    <s v="t.martin@gmail.com"/>
    <s v="jeep nation"/>
    <x v="4"/>
    <x v="3"/>
    <s v="Gasoline"/>
    <s v="1.3L"/>
    <s v="Silver"/>
    <n v="13000"/>
    <n v="2023"/>
    <x v="6"/>
    <x v="6"/>
    <x v="6"/>
    <x v="2"/>
  </r>
  <r>
    <x v="75"/>
    <x v="1"/>
    <x v="12"/>
    <x v="0"/>
    <s v="Subcompact_Compact Car"/>
    <x v="0"/>
    <x v="0"/>
    <s v="Under $25,000"/>
    <s v="John Smith"/>
    <s v="John"/>
    <s v="Smith"/>
    <s v="john.smith@email.com"/>
    <s v="metro honda"/>
    <x v="2"/>
    <x v="1"/>
    <s v="Gasoline"/>
    <s v="1.5L"/>
    <s v="Blue"/>
    <n v="15000"/>
    <n v="2021"/>
    <x v="0"/>
    <x v="0"/>
    <x v="0"/>
    <x v="0"/>
  </r>
  <r>
    <x v="76"/>
    <x v="2"/>
    <x v="30"/>
    <x v="3"/>
    <s v="Other"/>
    <x v="0"/>
    <x v="29"/>
    <s v="$90K-$129.9K"/>
    <s v="Easton Taylor"/>
    <s v="Easton"/>
    <s v="Taylor"/>
    <s v="e.taylor@gmail.com"/>
    <s v="Nissan Direct"/>
    <x v="7"/>
    <x v="3"/>
    <s v="Gasoline"/>
    <s v="3.8L"/>
    <s v="Black"/>
    <n v="2500"/>
    <n v="2024"/>
    <x v="8"/>
    <x v="8"/>
    <x v="8"/>
    <x v="2"/>
  </r>
  <r>
    <x v="77"/>
    <x v="8"/>
    <x v="26"/>
    <x v="0"/>
    <s v="Full-Size Car"/>
    <x v="0"/>
    <x v="25"/>
    <s v="$25K-$39.9K"/>
    <s v="Marcus White"/>
    <s v="Marcus"/>
    <s v="White"/>
    <s v="m.white@email.com"/>
    <s v="Chevy World"/>
    <x v="5"/>
    <x v="2"/>
    <s v="Electric"/>
    <s v="UNKNOWN"/>
    <s v="Red"/>
    <n v="8000"/>
    <n v="2023"/>
    <x v="6"/>
    <x v="6"/>
    <x v="6"/>
    <x v="2"/>
  </r>
  <r>
    <x v="78"/>
    <x v="6"/>
    <x v="29"/>
    <x v="0"/>
    <s v="Full-Size Car"/>
    <x v="2"/>
    <x v="28"/>
    <s v="$60K-$89.9K"/>
    <s v="Autumn Lee"/>
    <s v="Autumn"/>
    <s v="Lee"/>
    <s v="a.lee@gmail.com"/>
    <s v="BMW Elite"/>
    <x v="9"/>
    <x v="1"/>
    <s v="Gasoline"/>
    <s v="3.0L"/>
    <s v="White"/>
    <n v="6000"/>
    <n v="2023"/>
    <x v="8"/>
    <x v="8"/>
    <x v="8"/>
    <x v="2"/>
  </r>
  <r>
    <x v="79"/>
    <x v="6"/>
    <x v="21"/>
    <x v="3"/>
    <s v="Luxury Coupe"/>
    <x v="2"/>
    <x v="22"/>
    <s v="$90K-$129.9K"/>
    <s v="Paul Martin"/>
    <s v="Paul"/>
    <s v="Martin"/>
    <s v="p.martin2@email.com"/>
    <s v="BMW Elite"/>
    <x v="9"/>
    <x v="1"/>
    <s v="Gasoline"/>
    <s v="3.0L"/>
    <s v="Blue"/>
    <n v="18000"/>
    <n v="2022"/>
    <x v="3"/>
    <x v="3"/>
    <x v="3"/>
    <x v="1"/>
  </r>
  <r>
    <x v="80"/>
    <x v="7"/>
    <x v="20"/>
    <x v="2"/>
    <s v="Compact SUV"/>
    <x v="0"/>
    <x v="15"/>
    <s v="$25K-$39.9K"/>
    <s v="Gerald White"/>
    <s v="Gerald"/>
    <s v="White"/>
    <s v="g.white@email.com"/>
    <s v="Ford Country"/>
    <x v="3"/>
    <x v="2"/>
    <s v="Gasoline"/>
    <s v="2.3L"/>
    <s v="Green"/>
    <n v="9000"/>
    <n v="2023"/>
    <x v="3"/>
    <x v="3"/>
    <x v="3"/>
    <x v="1"/>
  </r>
  <r>
    <x v="81"/>
    <x v="2"/>
    <x v="19"/>
    <x v="2"/>
    <s v="Compact SUV"/>
    <x v="0"/>
    <x v="21"/>
    <s v="$40K-$59.9K"/>
    <s v="Terry Thomas"/>
    <s v="Terry"/>
    <s v="Thomas"/>
    <s v="t.thomas@email.com"/>
    <s v="Nissan Direct"/>
    <x v="7"/>
    <x v="3"/>
    <s v="Gasoline"/>
    <s v="5.6L"/>
    <s v="Blue"/>
    <n v="30000"/>
    <n v="2020"/>
    <x v="3"/>
    <x v="3"/>
    <x v="3"/>
    <x v="1"/>
  </r>
  <r>
    <x v="82"/>
    <x v="2"/>
    <x v="19"/>
    <x v="2"/>
    <s v="Compact SUV"/>
    <x v="0"/>
    <x v="21"/>
    <s v="$40K-$59.9K"/>
    <s v="Terry Thomas"/>
    <s v="Terry"/>
    <s v="Thomas"/>
    <s v="t.thomas@email.com"/>
    <s v="Nissan Direct"/>
    <x v="7"/>
    <x v="3"/>
    <s v="Gasoline"/>
    <s v="5.6L"/>
    <s v="Blue"/>
    <n v="30000"/>
    <n v="2020"/>
    <x v="3"/>
    <x v="3"/>
    <x v="3"/>
    <x v="1"/>
  </r>
  <r>
    <x v="83"/>
    <x v="8"/>
    <x v="23"/>
    <x v="2"/>
    <s v="Compact SUV"/>
    <x v="0"/>
    <x v="23"/>
    <s v="$25K-$39.9K"/>
    <s v="Zachary White"/>
    <s v="Zachary"/>
    <s v="White"/>
    <s v="z.white@email.com"/>
    <s v="Chevy World"/>
    <x v="5"/>
    <x v="2"/>
    <s v="Gasoline"/>
    <s v="2.5L"/>
    <s v="Black"/>
    <n v="25000"/>
    <n v="2020"/>
    <x v="5"/>
    <x v="5"/>
    <x v="5"/>
    <x v="1"/>
  </r>
  <r>
    <x v="84"/>
    <x v="3"/>
    <x v="27"/>
    <x v="0"/>
    <s v="Full-Size Car"/>
    <x v="0"/>
    <x v="26"/>
    <s v="$25K-$39.9K"/>
    <s v="Savannah Harris"/>
    <s v="Savannah"/>
    <s v="Harris"/>
    <s v="s.harris3@email.com"/>
    <s v="Hyundai Plus"/>
    <x v="1"/>
    <x v="0"/>
    <s v="Gasoline"/>
    <s v="2.0L"/>
    <s v="Red"/>
    <n v="5000"/>
    <n v="2024"/>
    <x v="7"/>
    <x v="7"/>
    <x v="7"/>
    <x v="2"/>
  </r>
  <r>
    <x v="85"/>
    <x v="7"/>
    <x v="24"/>
    <x v="2"/>
    <s v="Compact SUV"/>
    <x v="0"/>
    <x v="14"/>
    <s v="Under $25,000"/>
    <s v="Megan Moore"/>
    <s v="Megan"/>
    <s v="Moore"/>
    <s v="m.moore2@email.com"/>
    <s v="Ford Country"/>
    <x v="3"/>
    <x v="2"/>
    <s v="Gasoline"/>
    <s v="1.0L"/>
    <s v="White"/>
    <n v="19000"/>
    <n v="2021"/>
    <x v="5"/>
    <x v="5"/>
    <x v="5"/>
    <x v="1"/>
  </r>
  <r>
    <x v="86"/>
    <x v="6"/>
    <x v="29"/>
    <x v="0"/>
    <s v="Full-Size Car"/>
    <x v="2"/>
    <x v="28"/>
    <s v="$60K-$89.9K"/>
    <s v="Autumn Lee"/>
    <s v="Autumn"/>
    <s v="Lee"/>
    <s v="a.lee@gmail.com"/>
    <s v="BMW Elite"/>
    <x v="9"/>
    <x v="1"/>
    <s v="Gasoline"/>
    <s v="3.0L"/>
    <s v="White"/>
    <n v="6000"/>
    <n v="2023"/>
    <x v="8"/>
    <x v="8"/>
    <x v="8"/>
    <x v="2"/>
  </r>
  <r>
    <x v="87"/>
    <x v="3"/>
    <x v="14"/>
    <x v="0"/>
    <s v="Subcompact_Compact Car"/>
    <x v="0"/>
    <x v="14"/>
    <s v="Under $25,000"/>
    <s v="Lisa Chen"/>
    <s v="Lisa"/>
    <s v="Chen"/>
    <s v="lisa.chen@outlook.com"/>
    <s v="Hyundai Plus"/>
    <x v="1"/>
    <x v="0"/>
    <s v="Gasoline"/>
    <s v="2.0L"/>
    <s v="Red"/>
    <n v="12000"/>
    <n v="2022"/>
    <x v="1"/>
    <x v="1"/>
    <x v="1"/>
    <x v="0"/>
  </r>
  <r>
    <x v="88"/>
    <x v="5"/>
    <x v="16"/>
    <x v="0"/>
    <s v="Full-Size Car"/>
    <x v="2"/>
    <x v="16"/>
    <s v="$60K-$89.9K"/>
    <s v="Michael Rodriguez"/>
    <s v="Michael"/>
    <s v="Rodriguez"/>
    <s v="mrodriguez@email.com"/>
    <s v="Tesla Direct"/>
    <x v="6"/>
    <x v="0"/>
    <s v="Electric"/>
    <s v="UNKNOWN"/>
    <s v="Red"/>
    <n v="8000"/>
    <n v="2023"/>
    <x v="2"/>
    <x v="2"/>
    <x v="2"/>
    <x v="0"/>
  </r>
  <r>
    <x v="89"/>
    <x v="8"/>
    <x v="23"/>
    <x v="2"/>
    <s v="Compact SUV"/>
    <x v="0"/>
    <x v="23"/>
    <s v="$25K-$39.9K"/>
    <s v="Zachary White"/>
    <s v="Zachary"/>
    <s v="White"/>
    <s v="z.white@email.com"/>
    <s v="Chevy World"/>
    <x v="5"/>
    <x v="2"/>
    <s v="Gasoline"/>
    <s v="2.5L"/>
    <s v="Black"/>
    <n v="25000"/>
    <n v="2020"/>
    <x v="5"/>
    <x v="5"/>
    <x v="5"/>
    <x v="1"/>
  </r>
  <r>
    <x v="90"/>
    <x v="4"/>
    <x v="15"/>
    <x v="2"/>
    <s v="Compact SUV"/>
    <x v="0"/>
    <x v="18"/>
    <s v="$40K-$59.9K"/>
    <s v="Elizabeth White"/>
    <s v="Elizabeth"/>
    <s v="White"/>
    <s v="e.white@email.com"/>
    <s v="jeep nation"/>
    <x v="4"/>
    <x v="3"/>
    <s v="Gasoline"/>
    <s v="3.6L"/>
    <s v="Black"/>
    <n v="29000"/>
    <n v="2020"/>
    <x v="2"/>
    <x v="2"/>
    <x v="2"/>
    <x v="0"/>
  </r>
  <r>
    <x v="91"/>
    <x v="4"/>
    <x v="25"/>
    <x v="2"/>
    <s v="Compact SUV"/>
    <x v="0"/>
    <x v="24"/>
    <s v="$25K-$39.9K"/>
    <s v="Tyler Martin"/>
    <s v="Tyler"/>
    <s v="Martin"/>
    <s v="t.martin@gmail.com"/>
    <s v="jeep nation"/>
    <x v="4"/>
    <x v="3"/>
    <s v="Gasoline"/>
    <s v="1.3L"/>
    <s v="Silver"/>
    <n v="13000"/>
    <n v="2023"/>
    <x v="6"/>
    <x v="6"/>
    <x v="6"/>
    <x v="2"/>
  </r>
  <r>
    <x v="92"/>
    <x v="4"/>
    <x v="15"/>
    <x v="2"/>
    <s v="Compact SUV"/>
    <x v="0"/>
    <x v="18"/>
    <s v="$40K-$59.9K"/>
    <s v="Elizabeth White"/>
    <s v="Elizabeth"/>
    <s v="White"/>
    <s v="e.white@email.com"/>
    <s v="jeep nation"/>
    <x v="4"/>
    <x v="3"/>
    <s v="Gasoline"/>
    <s v="3.6L"/>
    <s v="Black"/>
    <n v="29000"/>
    <n v="2020"/>
    <x v="2"/>
    <x v="2"/>
    <x v="2"/>
    <x v="0"/>
  </r>
  <r>
    <x v="93"/>
    <x v="4"/>
    <x v="22"/>
    <x v="2"/>
    <s v="Compact SUV"/>
    <x v="0"/>
    <x v="14"/>
    <s v="Under $25,000"/>
    <s v="Matthew Martin"/>
    <s v="Matthew"/>
    <s v="Martin"/>
    <s v="m.martin@gmail.com"/>
    <s v="jeep nation"/>
    <x v="4"/>
    <x v="3"/>
    <s v="Gasoline"/>
    <s v="3.7L"/>
    <s v="Silver"/>
    <n v="45000"/>
    <n v="2016"/>
    <x v="4"/>
    <x v="4"/>
    <x v="4"/>
    <x v="1"/>
  </r>
  <r>
    <x v="94"/>
    <x v="4"/>
    <x v="15"/>
    <x v="2"/>
    <s v="Compact SUV"/>
    <x v="0"/>
    <x v="15"/>
    <s v="$25K-$39.9K"/>
    <s v="Amanda Taylor"/>
    <s v="Amanda"/>
    <s v="Taylor"/>
    <s v="a.taylor@gmail.com"/>
    <s v="jeep nation"/>
    <x v="4"/>
    <x v="3"/>
    <s v="Gasoline"/>
    <s v="3.6L"/>
    <s v="Gray"/>
    <n v="35000"/>
    <n v="2020"/>
    <x v="1"/>
    <x v="1"/>
    <x v="1"/>
    <x v="0"/>
  </r>
  <r>
    <x v="95"/>
    <x v="6"/>
    <x v="29"/>
    <x v="0"/>
    <s v="Full-Size Car"/>
    <x v="2"/>
    <x v="28"/>
    <s v="$60K-$89.9K"/>
    <s v="Autumn Lee"/>
    <s v="Autumn"/>
    <s v="Lee"/>
    <s v="a.lee@gmail.com"/>
    <s v="BMW Elite"/>
    <x v="9"/>
    <x v="1"/>
    <s v="Gasoline"/>
    <s v="3.0L"/>
    <s v="White"/>
    <n v="6000"/>
    <n v="2023"/>
    <x v="8"/>
    <x v="8"/>
    <x v="8"/>
    <x v="2"/>
  </r>
  <r>
    <x v="96"/>
    <x v="6"/>
    <x v="18"/>
    <x v="0"/>
    <s v="Full-Size Car"/>
    <x v="2"/>
    <x v="20"/>
    <s v="$60K-$89.9K"/>
    <s v="Keith Wilson"/>
    <s v="Keith"/>
    <s v="Wilson"/>
    <s v="k.wilson@email.com"/>
    <s v="BMW Elite"/>
    <x v="9"/>
    <x v="1"/>
    <s v="Gasoline"/>
    <s v="3.0L"/>
    <s v="Gray"/>
    <n v="26000"/>
    <n v="2020"/>
    <x v="3"/>
    <x v="3"/>
    <x v="3"/>
    <x v="1"/>
  </r>
  <r>
    <x v="97"/>
    <x v="4"/>
    <x v="22"/>
    <x v="2"/>
    <s v="Compact SUV"/>
    <x v="0"/>
    <x v="14"/>
    <s v="Under $25,000"/>
    <s v="Matthew Martin"/>
    <s v="Matthew"/>
    <s v="Martin"/>
    <s v="m.martin@gmail.com"/>
    <s v="jeep nation"/>
    <x v="4"/>
    <x v="3"/>
    <s v="Gasoline"/>
    <s v="3.7L"/>
    <s v="Silver"/>
    <n v="45000"/>
    <n v="2016"/>
    <x v="4"/>
    <x v="4"/>
    <x v="4"/>
    <x v="1"/>
  </r>
  <r>
    <x v="98"/>
    <x v="2"/>
    <x v="30"/>
    <x v="3"/>
    <s v="Other"/>
    <x v="0"/>
    <x v="29"/>
    <s v="$90K-$129.9K"/>
    <s v="Easton Taylor"/>
    <s v="Easton"/>
    <s v="Taylor"/>
    <s v="e.taylor@gmail.com"/>
    <s v="Nissan Direct"/>
    <x v="7"/>
    <x v="3"/>
    <s v="Gasoline"/>
    <s v="3.8L"/>
    <s v="Black"/>
    <n v="2500"/>
    <n v="2024"/>
    <x v="8"/>
    <x v="8"/>
    <x v="8"/>
    <x v="2"/>
  </r>
  <r>
    <x v="99"/>
    <x v="2"/>
    <x v="30"/>
    <x v="3"/>
    <s v="Other"/>
    <x v="0"/>
    <x v="29"/>
    <s v="$90K-$129.9K"/>
    <s v="Easton Taylor"/>
    <s v="Easton"/>
    <s v="Taylor"/>
    <s v="e.taylor@gmail.com"/>
    <s v="Nissan Direct"/>
    <x v="7"/>
    <x v="3"/>
    <s v="Gasoline"/>
    <s v="3.8L"/>
    <s v="Black"/>
    <n v="2500"/>
    <n v="2024"/>
    <x v="8"/>
    <x v="8"/>
    <x v="8"/>
    <x v="2"/>
  </r>
  <r>
    <x v="100"/>
    <x v="4"/>
    <x v="25"/>
    <x v="2"/>
    <s v="Compact SUV"/>
    <x v="0"/>
    <x v="24"/>
    <s v="$25K-$39.9K"/>
    <s v="Tyler Martin"/>
    <s v="Tyler"/>
    <s v="Martin"/>
    <s v="t.martin@gmail.com"/>
    <s v="jeep nation"/>
    <x v="4"/>
    <x v="3"/>
    <s v="Gasoline"/>
    <s v="1.3L"/>
    <s v="Silver"/>
    <n v="13000"/>
    <n v="2023"/>
    <x v="6"/>
    <x v="6"/>
    <x v="6"/>
    <x v="2"/>
  </r>
  <r>
    <x v="101"/>
    <x v="2"/>
    <x v="13"/>
    <x v="0"/>
    <s v="Full-Size Car"/>
    <x v="0"/>
    <x v="13"/>
    <s v="$25K-$39.9K"/>
    <s v="Mike Davis"/>
    <s v="Mike"/>
    <s v="Davis"/>
    <s v="m.davis@yahoo.com"/>
    <m/>
    <x v="8"/>
    <x v="1"/>
    <s v="Gasoline"/>
    <s v="2.5L"/>
    <s v="Silver"/>
    <n v="22000"/>
    <n v="2020"/>
    <x v="1"/>
    <x v="1"/>
    <x v="1"/>
    <x v="0"/>
  </r>
  <r>
    <x v="102"/>
    <x v="7"/>
    <x v="24"/>
    <x v="2"/>
    <s v="Compact SUV"/>
    <x v="0"/>
    <x v="14"/>
    <s v="Under $25,000"/>
    <s v="Megan Moore"/>
    <s v="Megan"/>
    <s v="Moore"/>
    <s v="m.moore2@email.com"/>
    <s v="Ford Country"/>
    <x v="3"/>
    <x v="2"/>
    <s v="Gasoline"/>
    <s v="1.0L"/>
    <s v="White"/>
    <n v="19000"/>
    <n v="2021"/>
    <x v="5"/>
    <x v="5"/>
    <x v="5"/>
    <x v="1"/>
  </r>
  <r>
    <x v="103"/>
    <x v="2"/>
    <x v="19"/>
    <x v="2"/>
    <s v="Compact SUV"/>
    <x v="0"/>
    <x v="21"/>
    <s v="$40K-$59.9K"/>
    <s v="Terry Thomas"/>
    <s v="Terry"/>
    <s v="Thomas"/>
    <s v="t.thomas@email.com"/>
    <s v="Nissan Direct"/>
    <x v="7"/>
    <x v="3"/>
    <s v="Gasoline"/>
    <s v="5.6L"/>
    <s v="Blue"/>
    <n v="30000"/>
    <n v="2020"/>
    <x v="3"/>
    <x v="3"/>
    <x v="3"/>
    <x v="1"/>
  </r>
  <r>
    <x v="104"/>
    <x v="4"/>
    <x v="15"/>
    <x v="2"/>
    <s v="Compact SUV"/>
    <x v="0"/>
    <x v="18"/>
    <s v="$40K-$59.9K"/>
    <s v="Elizabeth White"/>
    <s v="Elizabeth"/>
    <s v="White"/>
    <s v="e.white@email.com"/>
    <s v="jeep nation"/>
    <x v="4"/>
    <x v="3"/>
    <s v="Gasoline"/>
    <s v="3.6L"/>
    <s v="Black"/>
    <n v="29000"/>
    <n v="2020"/>
    <x v="2"/>
    <x v="2"/>
    <x v="2"/>
    <x v="0"/>
  </r>
  <r>
    <x v="105"/>
    <x v="0"/>
    <x v="1"/>
    <x v="1"/>
    <s v="Hybrid"/>
    <x v="1"/>
    <x v="1"/>
    <s v="$25K-$39.9K"/>
    <s v="Joseph Thompson"/>
    <s v="Joseph"/>
    <s v="Thompson"/>
    <s v="j.thompson@email.com"/>
    <s v="BMW Elite"/>
    <x v="9"/>
    <x v="1"/>
    <s v="Gasoline"/>
    <s v="3.0L"/>
    <s v="Gray"/>
    <n v="32000"/>
    <n v="2020"/>
    <x v="9"/>
    <x v="9"/>
    <x v="9"/>
    <x v="3"/>
  </r>
  <r>
    <x v="106"/>
    <x v="0"/>
    <x v="1"/>
    <x v="1"/>
    <s v="Hybrid"/>
    <x v="1"/>
    <x v="1"/>
    <s v="$25K-$39.9K"/>
    <s v="Nancy Garcia"/>
    <s v="Nancy"/>
    <s v="Garcia"/>
    <s v="n.garcia@email.com"/>
    <s v="Tesla Direct"/>
    <x v="6"/>
    <x v="0"/>
    <s v="Electric"/>
    <s v="UNKNOWN"/>
    <s v="White"/>
    <n v="12000"/>
    <n v="2023"/>
    <x v="9"/>
    <x v="9"/>
    <x v="9"/>
    <x v="3"/>
  </r>
  <r>
    <x v="107"/>
    <x v="0"/>
    <x v="1"/>
    <x v="0"/>
    <s v="Full-Size Car"/>
    <x v="0"/>
    <x v="30"/>
    <s v="$25K-$39.9K"/>
    <s v="Linda Wilson"/>
    <s v="Linda"/>
    <s v="Wilson"/>
    <s v="l.wilson@email.com"/>
    <s v="Toyota Center"/>
    <x v="0"/>
    <x v="0"/>
    <s v="Hybrid"/>
    <s v="1.8L"/>
    <s v="Blue"/>
    <n v="9000"/>
    <n v="2023"/>
    <x v="9"/>
    <x v="9"/>
    <x v="9"/>
    <x v="3"/>
  </r>
  <r>
    <x v="108"/>
    <x v="0"/>
    <x v="1"/>
    <x v="1"/>
    <s v="Hybrid"/>
    <x v="1"/>
    <x v="1"/>
    <s v="$25K-$39.9K"/>
    <s v="Helen Jackson"/>
    <s v="Helen"/>
    <s v="Jackson"/>
    <s v="h.jackson@gmail.com"/>
    <s v="Chevy World"/>
    <x v="5"/>
    <x v="2"/>
    <s v="Gasoline"/>
    <s v="1.5L"/>
    <s v="White"/>
    <n v="20000"/>
    <n v="2022"/>
    <x v="9"/>
    <x v="9"/>
    <x v="9"/>
    <x v="3"/>
  </r>
  <r>
    <x v="109"/>
    <x v="0"/>
    <x v="1"/>
    <x v="1"/>
    <s v="Hybrid"/>
    <x v="1"/>
    <x v="1"/>
    <s v="$25K-$39.9K"/>
    <s v="Edward White"/>
    <s v="Edward"/>
    <s v="White"/>
    <s v="e.white@email.com"/>
    <s v="BMW Elite"/>
    <x v="9"/>
    <x v="1"/>
    <s v="Gasoline"/>
    <s v="2.0L"/>
    <s v="Black"/>
    <n v="28000"/>
    <n v="2020"/>
    <x v="10"/>
    <x v="10"/>
    <x v="10"/>
    <x v="3"/>
  </r>
  <r>
    <x v="110"/>
    <x v="0"/>
    <x v="5"/>
    <x v="2"/>
    <s v="Mid_Full-Size SUV"/>
    <x v="0"/>
    <x v="10"/>
    <s v="$25K-$39.9K"/>
    <s v="Ruth Thompson"/>
    <s v="Ruth"/>
    <s v="Thompson"/>
    <s v="r.thompson@email.com"/>
    <s v="Toyota Center"/>
    <x v="0"/>
    <x v="0"/>
    <s v="Gasoline"/>
    <s v="2.5L"/>
    <s v="Silver"/>
    <n v="11000"/>
    <n v="2023"/>
    <x v="10"/>
    <x v="10"/>
    <x v="10"/>
    <x v="3"/>
  </r>
  <r>
    <x v="111"/>
    <x v="0"/>
    <x v="1"/>
    <x v="1"/>
    <s v="Hybrid"/>
    <x v="1"/>
    <x v="1"/>
    <s v="$25K-$39.9K"/>
    <s v="Joe Garcia"/>
    <s v="Joe"/>
    <s v="Garcia"/>
    <s v="j.garcia@email.com"/>
    <s v="Nissan Direct"/>
    <x v="7"/>
    <x v="3"/>
    <s v="Gasoline"/>
    <s v="2.5L"/>
    <s v="Blue"/>
    <n v="24000"/>
    <n v="2021"/>
    <x v="10"/>
    <x v="10"/>
    <x v="10"/>
    <x v="3"/>
  </r>
  <r>
    <x v="112"/>
    <x v="0"/>
    <x v="5"/>
    <x v="2"/>
    <s v="Mid_Full-Size SUV"/>
    <x v="0"/>
    <x v="6"/>
    <s v="$25K-$39.9K"/>
    <s v="Gloria Anderson"/>
    <s v="Gloria"/>
    <s v="Anderson"/>
    <s v="g.anderson@email.com"/>
    <s v="BMW Elite"/>
    <x v="9"/>
    <x v="1"/>
    <s v="Gasoline"/>
    <s v="2.0L"/>
    <s v="Silver"/>
    <n v="21000"/>
    <n v="2021"/>
    <x v="10"/>
    <x v="10"/>
    <x v="10"/>
    <x v="3"/>
  </r>
  <r>
    <x v="113"/>
    <x v="0"/>
    <x v="6"/>
    <x v="2"/>
    <s v="Compact SUV"/>
    <x v="0"/>
    <x v="31"/>
    <s v="$40K-$59.9K"/>
    <s v="Ralph White"/>
    <s v="Ralph"/>
    <s v="White"/>
    <s v="r.white@email.com"/>
    <s v="Toyota Center"/>
    <x v="0"/>
    <x v="0"/>
    <s v="Gasoline"/>
    <s v="3.5L"/>
    <s v="Gray"/>
    <n v="18000"/>
    <n v="2022"/>
    <x v="11"/>
    <x v="11"/>
    <x v="11"/>
    <x v="3"/>
  </r>
  <r>
    <x v="114"/>
    <x v="0"/>
    <x v="6"/>
    <x v="2"/>
    <s v="Mid_Full-Size SUV"/>
    <x v="2"/>
    <x v="7"/>
    <s v="$40K-$59.9K"/>
    <s v="Kathryn Thompson"/>
    <s v="Kathryn"/>
    <s v="Thompson"/>
    <s v="k.thompson@email.com"/>
    <s v="jeep nation"/>
    <x v="4"/>
    <x v="3"/>
    <s v="Gasoline"/>
    <s v="2.4L"/>
    <s v="Silver"/>
    <n v="20000"/>
    <n v="2021"/>
    <x v="11"/>
    <x v="11"/>
    <x v="11"/>
    <x v="3"/>
  </r>
  <r>
    <x v="115"/>
    <x v="0"/>
    <x v="5"/>
    <x v="2"/>
    <s v="Mid_Full-Size SUV"/>
    <x v="0"/>
    <x v="6"/>
    <s v="$25K-$39.9K"/>
    <s v="Harold Wilson"/>
    <s v="Harold"/>
    <s v="Wilson"/>
    <s v="h.wilson@email.com"/>
    <s v="BMW Elite"/>
    <x v="9"/>
    <x v="1"/>
    <s v="Gasoline"/>
    <s v="2.0L"/>
    <s v="Black"/>
    <n v="15000"/>
    <n v="2022"/>
    <x v="11"/>
    <x v="11"/>
    <x v="11"/>
    <x v="3"/>
  </r>
  <r>
    <x v="116"/>
    <x v="0"/>
    <x v="31"/>
    <x v="4"/>
    <s v="Pickup Truck"/>
    <x v="0"/>
    <x v="32"/>
    <s v="$25K-$39.9K"/>
    <s v="Roy Taylor"/>
    <s v="Roy"/>
    <s v="Taylor"/>
    <s v="r.taylor@email.com"/>
    <s v="Toyota Center"/>
    <x v="0"/>
    <x v="0"/>
    <s v="Gasoline"/>
    <s v="2.7L"/>
    <s v="Gray"/>
    <n v="21000"/>
    <n v="2020"/>
    <x v="11"/>
    <x v="11"/>
    <x v="11"/>
    <x v="3"/>
  </r>
  <r>
    <x v="117"/>
    <x v="0"/>
    <x v="6"/>
    <x v="2"/>
    <s v="Mid_Full-Size SUV"/>
    <x v="2"/>
    <x v="7"/>
    <s v="$40K-$59.9K"/>
    <s v="Eugene White"/>
    <s v="Eugene"/>
    <s v="White"/>
    <s v="e.white2@email.com"/>
    <s v="Tesla Direct"/>
    <x v="6"/>
    <x v="0"/>
    <s v="Electric"/>
    <s v="UNKNOWN"/>
    <s v="Silver"/>
    <n v="1000"/>
    <n v="2024"/>
    <x v="11"/>
    <x v="11"/>
    <x v="11"/>
    <x v="3"/>
  </r>
  <r>
    <x v="118"/>
    <x v="1"/>
    <x v="32"/>
    <x v="0"/>
    <s v="Full-Size Car"/>
    <x v="0"/>
    <x v="27"/>
    <s v="$25K-$39.9K"/>
    <s v="Kenneth Lee"/>
    <s v="Kenneth"/>
    <s v="Lee"/>
    <s v="k.lee@gmail.com"/>
    <s v="metro honda"/>
    <x v="2"/>
    <x v="1"/>
    <s v="Gasoline"/>
    <s v="1.5L"/>
    <s v="Black"/>
    <n v="22000"/>
    <n v="2021"/>
    <x v="9"/>
    <x v="9"/>
    <x v="9"/>
    <x v="3"/>
  </r>
  <r>
    <x v="119"/>
    <x v="5"/>
    <x v="33"/>
    <x v="2"/>
    <s v="Compact SUV"/>
    <x v="2"/>
    <x v="33"/>
    <s v="$40K-$59.9K"/>
    <s v="Donna Harris"/>
    <s v="Donna"/>
    <s v="Harris"/>
    <s v="d.harris@email.com"/>
    <s v="Tesla Direct"/>
    <x v="6"/>
    <x v="0"/>
    <s v="Electric"/>
    <s v="UNKNOWN"/>
    <s v="Gray"/>
    <n v="6000"/>
    <n v="2024"/>
    <x v="10"/>
    <x v="10"/>
    <x v="10"/>
    <x v="3"/>
  </r>
  <r>
    <x v="120"/>
    <x v="0"/>
    <x v="1"/>
    <x v="1"/>
    <s v="Hybrid"/>
    <x v="1"/>
    <x v="1"/>
    <s v="$25K-$39.9K"/>
    <s v="Joseph Thompson"/>
    <s v="Joseph"/>
    <s v="Thompson"/>
    <s v="j.thompson@email.com"/>
    <s v="BMW Elite"/>
    <x v="9"/>
    <x v="1"/>
    <s v="Gasoline"/>
    <s v="3.0L"/>
    <s v="Gray"/>
    <n v="32000"/>
    <n v="2020"/>
    <x v="9"/>
    <x v="9"/>
    <x v="9"/>
    <x v="3"/>
  </r>
  <r>
    <x v="121"/>
    <x v="0"/>
    <x v="1"/>
    <x v="1"/>
    <s v="Hybrid"/>
    <x v="1"/>
    <x v="1"/>
    <s v="$25K-$39.9K"/>
    <s v="Nancy Garcia"/>
    <s v="Nancy"/>
    <s v="Garcia"/>
    <s v="n.garcia@email.com"/>
    <s v="Tesla Direct"/>
    <x v="6"/>
    <x v="0"/>
    <s v="Electric"/>
    <s v="UNKNOWN"/>
    <s v="White"/>
    <n v="12000"/>
    <n v="2023"/>
    <x v="9"/>
    <x v="9"/>
    <x v="9"/>
    <x v="3"/>
  </r>
  <r>
    <x v="122"/>
    <x v="0"/>
    <x v="1"/>
    <x v="0"/>
    <s v="Full-Size Car"/>
    <x v="0"/>
    <x v="30"/>
    <s v="$25K-$39.9K"/>
    <s v="Linda Wilson"/>
    <s v="Linda"/>
    <s v="Wilson"/>
    <s v="l.wilson@email.com"/>
    <s v="Toyota Center"/>
    <x v="0"/>
    <x v="0"/>
    <s v="Hybrid"/>
    <s v="1.8L"/>
    <s v="Blue"/>
    <n v="9000"/>
    <n v="2023"/>
    <x v="9"/>
    <x v="9"/>
    <x v="9"/>
    <x v="3"/>
  </r>
  <r>
    <x v="123"/>
    <x v="0"/>
    <x v="1"/>
    <x v="1"/>
    <s v="Hybrid"/>
    <x v="1"/>
    <x v="1"/>
    <s v="$25K-$39.9K"/>
    <s v="Helen Jackson"/>
    <s v="Helen"/>
    <s v="Jackson"/>
    <s v="h.jackson@gmail.com"/>
    <s v="Chevy World"/>
    <x v="5"/>
    <x v="2"/>
    <s v="Gasoline"/>
    <s v="1.5L"/>
    <s v="White"/>
    <n v="20000"/>
    <n v="2022"/>
    <x v="9"/>
    <x v="9"/>
    <x v="9"/>
    <x v="3"/>
  </r>
  <r>
    <x v="124"/>
    <x v="0"/>
    <x v="1"/>
    <x v="1"/>
    <s v="Hybrid"/>
    <x v="1"/>
    <x v="1"/>
    <s v="$25K-$39.9K"/>
    <s v="Edward White"/>
    <s v="Edward"/>
    <s v="White"/>
    <s v="e.white@email.com"/>
    <s v="BMW Elite"/>
    <x v="9"/>
    <x v="1"/>
    <s v="Gasoline"/>
    <s v="2.0L"/>
    <s v="Black"/>
    <n v="28000"/>
    <n v="2020"/>
    <x v="10"/>
    <x v="10"/>
    <x v="10"/>
    <x v="3"/>
  </r>
  <r>
    <x v="125"/>
    <x v="0"/>
    <x v="5"/>
    <x v="2"/>
    <s v="Mid_Full-Size SUV"/>
    <x v="0"/>
    <x v="10"/>
    <s v="$25K-$39.9K"/>
    <s v="Ruth Thompson"/>
    <s v="Ruth"/>
    <s v="Thompson"/>
    <s v="r.thompson@email.com"/>
    <s v="Toyota Center"/>
    <x v="0"/>
    <x v="0"/>
    <s v="Gasoline"/>
    <s v="2.5L"/>
    <s v="Silver"/>
    <n v="11000"/>
    <n v="2023"/>
    <x v="10"/>
    <x v="10"/>
    <x v="10"/>
    <x v="3"/>
  </r>
  <r>
    <x v="126"/>
    <x v="0"/>
    <x v="1"/>
    <x v="1"/>
    <s v="Hybrid"/>
    <x v="1"/>
    <x v="1"/>
    <s v="$25K-$39.9K"/>
    <s v="Joe Garcia"/>
    <s v="Joe"/>
    <s v="Garcia"/>
    <s v="j.garcia@email.com"/>
    <s v="Nissan Direct"/>
    <x v="7"/>
    <x v="3"/>
    <s v="Gasoline"/>
    <s v="2.5L"/>
    <s v="Blue"/>
    <n v="24000"/>
    <n v="2021"/>
    <x v="10"/>
    <x v="10"/>
    <x v="10"/>
    <x v="3"/>
  </r>
  <r>
    <x v="127"/>
    <x v="0"/>
    <x v="5"/>
    <x v="2"/>
    <s v="Mid_Full-Size SUV"/>
    <x v="0"/>
    <x v="6"/>
    <s v="$25K-$39.9K"/>
    <s v="Gloria Anderson"/>
    <s v="Gloria"/>
    <s v="Anderson"/>
    <s v="g.anderson@email.com"/>
    <s v="BMW Elite"/>
    <x v="9"/>
    <x v="1"/>
    <s v="Gasoline"/>
    <s v="2.0L"/>
    <s v="Silver"/>
    <n v="21000"/>
    <n v="2021"/>
    <x v="10"/>
    <x v="10"/>
    <x v="10"/>
    <x v="3"/>
  </r>
  <r>
    <x v="128"/>
    <x v="0"/>
    <x v="6"/>
    <x v="2"/>
    <s v="Compact SUV"/>
    <x v="0"/>
    <x v="31"/>
    <s v="$40K-$59.9K"/>
    <s v="Ralph White"/>
    <s v="Ralph"/>
    <s v="White"/>
    <s v="r.white@email.com"/>
    <s v="Toyota Center"/>
    <x v="0"/>
    <x v="0"/>
    <s v="Gasoline"/>
    <s v="3.5L"/>
    <s v="Gray"/>
    <n v="18000"/>
    <n v="2022"/>
    <x v="11"/>
    <x v="11"/>
    <x v="11"/>
    <x v="3"/>
  </r>
  <r>
    <x v="129"/>
    <x v="0"/>
    <x v="6"/>
    <x v="2"/>
    <s v="Mid_Full-Size SUV"/>
    <x v="2"/>
    <x v="7"/>
    <s v="$40K-$59.9K"/>
    <s v="Kathryn Thompson"/>
    <s v="Kathryn"/>
    <s v="Thompson"/>
    <s v="k.thompson@email.com"/>
    <s v="jeep nation"/>
    <x v="4"/>
    <x v="3"/>
    <s v="Gasoline"/>
    <s v="2.4L"/>
    <s v="Silver"/>
    <n v="20000"/>
    <n v="2021"/>
    <x v="11"/>
    <x v="11"/>
    <x v="11"/>
    <x v="3"/>
  </r>
  <r>
    <x v="130"/>
    <x v="0"/>
    <x v="5"/>
    <x v="2"/>
    <s v="Mid_Full-Size SUV"/>
    <x v="0"/>
    <x v="6"/>
    <s v="$25K-$39.9K"/>
    <s v="Harold Wilson"/>
    <s v="Harold"/>
    <s v="Wilson"/>
    <s v="h.wilson@email.com"/>
    <s v="BMW Elite"/>
    <x v="9"/>
    <x v="1"/>
    <s v="Gasoline"/>
    <s v="2.0L"/>
    <s v="Black"/>
    <n v="15000"/>
    <n v="2022"/>
    <x v="11"/>
    <x v="11"/>
    <x v="11"/>
    <x v="3"/>
  </r>
  <r>
    <x v="131"/>
    <x v="0"/>
    <x v="31"/>
    <x v="4"/>
    <s v="Pickup Truck"/>
    <x v="0"/>
    <x v="32"/>
    <s v="$25K-$39.9K"/>
    <s v="Roy Taylor"/>
    <s v="Roy"/>
    <s v="Taylor"/>
    <s v="r.taylor@email.com"/>
    <s v="Toyota Center"/>
    <x v="0"/>
    <x v="0"/>
    <s v="Gasoline"/>
    <s v="2.7L"/>
    <s v="Gray"/>
    <n v="21000"/>
    <n v="2020"/>
    <x v="11"/>
    <x v="11"/>
    <x v="11"/>
    <x v="3"/>
  </r>
  <r>
    <x v="132"/>
    <x v="0"/>
    <x v="6"/>
    <x v="2"/>
    <s v="Mid_Full-Size SUV"/>
    <x v="2"/>
    <x v="7"/>
    <s v="$40K-$59.9K"/>
    <s v="Eugene White"/>
    <s v="Eugene"/>
    <s v="White"/>
    <s v="e.white2@email.com"/>
    <s v="Tesla Direct"/>
    <x v="6"/>
    <x v="0"/>
    <s v="Electric"/>
    <s v="UNKNOWN"/>
    <s v="Silver"/>
    <n v="1000"/>
    <n v="2024"/>
    <x v="11"/>
    <x v="11"/>
    <x v="11"/>
    <x v="3"/>
  </r>
  <r>
    <x v="133"/>
    <x v="1"/>
    <x v="32"/>
    <x v="0"/>
    <s v="Full-Size Car"/>
    <x v="0"/>
    <x v="27"/>
    <s v="$25K-$39.9K"/>
    <s v="Kenneth Lee"/>
    <s v="Kenneth"/>
    <s v="Lee"/>
    <s v="k.lee@gmail.com"/>
    <s v="metro honda"/>
    <x v="2"/>
    <x v="1"/>
    <s v="Gasoline"/>
    <s v="1.5L"/>
    <s v="Black"/>
    <n v="22000"/>
    <n v="2021"/>
    <x v="9"/>
    <x v="9"/>
    <x v="9"/>
    <x v="3"/>
  </r>
  <r>
    <x v="134"/>
    <x v="5"/>
    <x v="33"/>
    <x v="2"/>
    <s v="Compact SUV"/>
    <x v="2"/>
    <x v="33"/>
    <s v="$40K-$59.9K"/>
    <s v="Donna Harris"/>
    <s v="Donna"/>
    <s v="Harris"/>
    <s v="d.harris@email.com"/>
    <s v="Tesla Direct"/>
    <x v="6"/>
    <x v="0"/>
    <s v="Electric"/>
    <s v="UNKNOWN"/>
    <s v="Gray"/>
    <n v="6000"/>
    <n v="2024"/>
    <x v="10"/>
    <x v="10"/>
    <x v="10"/>
    <x v="3"/>
  </r>
  <r>
    <x v="135"/>
    <x v="0"/>
    <x v="1"/>
    <x v="1"/>
    <s v="Hybrid"/>
    <x v="1"/>
    <x v="1"/>
    <s v="$25K-$39.9K"/>
    <s v="Joseph Thompson"/>
    <s v="Joseph"/>
    <s v="Thompson"/>
    <s v="j.thompson@email.com"/>
    <s v="BMW Elite"/>
    <x v="9"/>
    <x v="1"/>
    <s v="Gasoline"/>
    <s v="3.0L"/>
    <s v="Gray"/>
    <n v="32000"/>
    <n v="2020"/>
    <x v="9"/>
    <x v="9"/>
    <x v="9"/>
    <x v="3"/>
  </r>
  <r>
    <x v="136"/>
    <x v="0"/>
    <x v="1"/>
    <x v="1"/>
    <s v="Hybrid"/>
    <x v="1"/>
    <x v="1"/>
    <s v="$25K-$39.9K"/>
    <s v="Nancy Garcia"/>
    <s v="Nancy"/>
    <s v="Garcia"/>
    <s v="n.garcia@email.com"/>
    <s v="Tesla Direct"/>
    <x v="6"/>
    <x v="0"/>
    <s v="Electric"/>
    <s v="UNKNOWN"/>
    <s v="White"/>
    <n v="12000"/>
    <n v="2023"/>
    <x v="9"/>
    <x v="9"/>
    <x v="9"/>
    <x v="3"/>
  </r>
  <r>
    <x v="137"/>
    <x v="0"/>
    <x v="1"/>
    <x v="0"/>
    <s v="Full-Size Car"/>
    <x v="0"/>
    <x v="30"/>
    <s v="$25K-$39.9K"/>
    <s v="Linda Wilson"/>
    <s v="Linda"/>
    <s v="Wilson"/>
    <s v="l.wilson@email.com"/>
    <s v="Toyota Center"/>
    <x v="0"/>
    <x v="0"/>
    <s v="Hybrid"/>
    <s v="1.8L"/>
    <s v="Blue"/>
    <n v="9000"/>
    <n v="2023"/>
    <x v="9"/>
    <x v="9"/>
    <x v="9"/>
    <x v="3"/>
  </r>
  <r>
    <x v="138"/>
    <x v="0"/>
    <x v="1"/>
    <x v="1"/>
    <s v="Hybrid"/>
    <x v="1"/>
    <x v="1"/>
    <s v="$25K-$39.9K"/>
    <s v="Helen Jackson"/>
    <s v="Helen"/>
    <s v="Jackson"/>
    <s v="h.jackson@gmail.com"/>
    <s v="Chevy World"/>
    <x v="5"/>
    <x v="2"/>
    <s v="Gasoline"/>
    <s v="1.5L"/>
    <s v="White"/>
    <n v="20000"/>
    <n v="2022"/>
    <x v="9"/>
    <x v="9"/>
    <x v="9"/>
    <x v="3"/>
  </r>
  <r>
    <x v="139"/>
    <x v="0"/>
    <x v="1"/>
    <x v="1"/>
    <s v="Hybrid"/>
    <x v="1"/>
    <x v="1"/>
    <s v="$25K-$39.9K"/>
    <s v="Edward White"/>
    <s v="Edward"/>
    <s v="White"/>
    <s v="e.white@email.com"/>
    <s v="BMW Elite"/>
    <x v="9"/>
    <x v="1"/>
    <s v="Gasoline"/>
    <s v="2.0L"/>
    <s v="Black"/>
    <n v="28000"/>
    <n v="2020"/>
    <x v="10"/>
    <x v="10"/>
    <x v="10"/>
    <x v="3"/>
  </r>
  <r>
    <x v="140"/>
    <x v="0"/>
    <x v="5"/>
    <x v="2"/>
    <s v="Mid_Full-Size SUV"/>
    <x v="0"/>
    <x v="10"/>
    <s v="$25K-$39.9K"/>
    <s v="Ruth Thompson"/>
    <s v="Ruth"/>
    <s v="Thompson"/>
    <s v="r.thompson@email.com"/>
    <s v="Toyota Center"/>
    <x v="0"/>
    <x v="0"/>
    <s v="Gasoline"/>
    <s v="2.5L"/>
    <s v="Silver"/>
    <n v="11000"/>
    <n v="2023"/>
    <x v="10"/>
    <x v="10"/>
    <x v="10"/>
    <x v="3"/>
  </r>
  <r>
    <x v="141"/>
    <x v="0"/>
    <x v="1"/>
    <x v="1"/>
    <s v="Hybrid"/>
    <x v="1"/>
    <x v="1"/>
    <s v="$25K-$39.9K"/>
    <s v="Joe Garcia"/>
    <s v="Joe"/>
    <s v="Garcia"/>
    <s v="j.garcia@email.com"/>
    <s v="Nissan Direct"/>
    <x v="7"/>
    <x v="3"/>
    <s v="Gasoline"/>
    <s v="2.5L"/>
    <s v="Blue"/>
    <n v="24000"/>
    <n v="2021"/>
    <x v="10"/>
    <x v="10"/>
    <x v="10"/>
    <x v="3"/>
  </r>
  <r>
    <x v="142"/>
    <x v="0"/>
    <x v="5"/>
    <x v="2"/>
    <s v="Mid_Full-Size SUV"/>
    <x v="0"/>
    <x v="6"/>
    <s v="$25K-$39.9K"/>
    <s v="Gloria Anderson"/>
    <s v="Gloria"/>
    <s v="Anderson"/>
    <s v="g.anderson@email.com"/>
    <s v="BMW Elite"/>
    <x v="9"/>
    <x v="1"/>
    <s v="Gasoline"/>
    <s v="2.0L"/>
    <s v="Silver"/>
    <n v="21000"/>
    <n v="2021"/>
    <x v="10"/>
    <x v="10"/>
    <x v="10"/>
    <x v="3"/>
  </r>
  <r>
    <x v="143"/>
    <x v="0"/>
    <x v="6"/>
    <x v="2"/>
    <s v="Compact SUV"/>
    <x v="0"/>
    <x v="31"/>
    <s v="$40K-$59.9K"/>
    <s v="Ralph White"/>
    <s v="Ralph"/>
    <s v="White"/>
    <s v="r.white@email.com"/>
    <s v="Toyota Center"/>
    <x v="0"/>
    <x v="0"/>
    <s v="Gasoline"/>
    <s v="3.5L"/>
    <s v="Gray"/>
    <n v="18000"/>
    <n v="2022"/>
    <x v="11"/>
    <x v="11"/>
    <x v="11"/>
    <x v="3"/>
  </r>
  <r>
    <x v="144"/>
    <x v="0"/>
    <x v="6"/>
    <x v="2"/>
    <s v="Mid_Full-Size SUV"/>
    <x v="2"/>
    <x v="7"/>
    <s v="$40K-$59.9K"/>
    <s v="Kathryn Thompson"/>
    <s v="Kathryn"/>
    <s v="Thompson"/>
    <s v="k.thompson@email.com"/>
    <s v="jeep nation"/>
    <x v="4"/>
    <x v="3"/>
    <s v="Gasoline"/>
    <s v="2.4L"/>
    <s v="Silver"/>
    <n v="20000"/>
    <n v="2021"/>
    <x v="11"/>
    <x v="11"/>
    <x v="11"/>
    <x v="3"/>
  </r>
  <r>
    <x v="145"/>
    <x v="0"/>
    <x v="5"/>
    <x v="2"/>
    <s v="Mid_Full-Size SUV"/>
    <x v="0"/>
    <x v="6"/>
    <s v="$25K-$39.9K"/>
    <s v="Harold Wilson"/>
    <s v="Harold"/>
    <s v="Wilson"/>
    <s v="h.wilson@email.com"/>
    <s v="BMW Elite"/>
    <x v="9"/>
    <x v="1"/>
    <s v="Gasoline"/>
    <s v="2.0L"/>
    <s v="Black"/>
    <n v="15000"/>
    <n v="2022"/>
    <x v="11"/>
    <x v="11"/>
    <x v="11"/>
    <x v="3"/>
  </r>
  <r>
    <x v="146"/>
    <x v="0"/>
    <x v="31"/>
    <x v="4"/>
    <s v="Pickup Truck"/>
    <x v="0"/>
    <x v="32"/>
    <s v="$25K-$39.9K"/>
    <s v="Roy Taylor"/>
    <s v="Roy"/>
    <s v="Taylor"/>
    <s v="r.taylor@email.com"/>
    <s v="Toyota Center"/>
    <x v="0"/>
    <x v="0"/>
    <s v="Gasoline"/>
    <s v="2.7L"/>
    <s v="Gray"/>
    <n v="21000"/>
    <n v="2020"/>
    <x v="11"/>
    <x v="11"/>
    <x v="11"/>
    <x v="3"/>
  </r>
  <r>
    <x v="147"/>
    <x v="0"/>
    <x v="6"/>
    <x v="2"/>
    <s v="Mid_Full-Size SUV"/>
    <x v="2"/>
    <x v="7"/>
    <s v="$40K-$59.9K"/>
    <s v="Eugene White"/>
    <s v="Eugene"/>
    <s v="White"/>
    <s v="e.white2@email.com"/>
    <s v="Tesla Direct"/>
    <x v="6"/>
    <x v="0"/>
    <s v="Electric"/>
    <s v="UNKNOWN"/>
    <s v="Silver"/>
    <n v="1000"/>
    <n v="2024"/>
    <x v="11"/>
    <x v="11"/>
    <x v="11"/>
    <x v="3"/>
  </r>
  <r>
    <x v="148"/>
    <x v="1"/>
    <x v="32"/>
    <x v="0"/>
    <s v="Full-Size Car"/>
    <x v="0"/>
    <x v="27"/>
    <s v="$25K-$39.9K"/>
    <s v="Kenneth Lee"/>
    <s v="Kenneth"/>
    <s v="Lee"/>
    <s v="k.lee@gmail.com"/>
    <s v="metro honda"/>
    <x v="2"/>
    <x v="1"/>
    <s v="Gasoline"/>
    <s v="1.5L"/>
    <s v="Black"/>
    <n v="22000"/>
    <n v="2021"/>
    <x v="9"/>
    <x v="9"/>
    <x v="9"/>
    <x v="3"/>
  </r>
  <r>
    <x v="149"/>
    <x v="5"/>
    <x v="33"/>
    <x v="2"/>
    <s v="Compact SUV"/>
    <x v="2"/>
    <x v="34"/>
    <s v="$40K-$59.9K"/>
    <s v="Donna Harris"/>
    <s v="Donna"/>
    <s v="Harris"/>
    <s v="d.harris@email.com"/>
    <s v="Tesla Direct"/>
    <x v="6"/>
    <x v="0"/>
    <s v="Electric"/>
    <s v="UNKNOWN"/>
    <s v="Gray"/>
    <n v="6000"/>
    <n v="2024"/>
    <x v="10"/>
    <x v="10"/>
    <x v="10"/>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s v="2T1BURHE0JC054321"/>
    <x v="0"/>
    <x v="0"/>
    <s v="Sedan"/>
    <s v="Subcompact_Compact Car"/>
    <s v="Standard"/>
    <x v="0"/>
    <s v="Under $25,000"/>
    <s v="Sarah Johnson"/>
    <s v="Sarah"/>
    <s v="Johnson"/>
    <s v="sarah.j@gmail.com"/>
    <s v="Toyota Center"/>
    <s v="Toyota Center"/>
    <s v="West"/>
    <s v="Gasoline"/>
    <s v="1.8L"/>
    <s v="White"/>
    <n v="8500"/>
    <n v="2021"/>
    <d v="2454-02-24T00:00:00"/>
    <d v="2024-01-31T00:00:00"/>
    <s v="Jan"/>
    <s v="Q1"/>
  </r>
  <r>
    <s v="KMHCT4AE9CU987654"/>
    <x v="0"/>
    <x v="1"/>
    <s v="Hatchback"/>
    <s v="Hybrid"/>
    <s v="Eco-Friendly"/>
    <x v="1"/>
    <s v="$25K-$39.9K"/>
    <s v="Robert Wilson"/>
    <s v="Robert"/>
    <s v="Wilson"/>
    <s v="rwilson@email.com"/>
    <s v="Hyundai Plus"/>
    <s v="Hyundai Plus"/>
    <s v="West"/>
    <s v="Gasoline"/>
    <s v="2.4L"/>
    <s v="Black"/>
    <n v="28000"/>
    <n v="2019"/>
    <d v="2454-02-25T00:00:00"/>
    <d v="2024-02-29T00:00:00"/>
    <s v="Feb"/>
    <s v="Q1"/>
  </r>
  <r>
    <s v="1HGCV1F36JA123456"/>
    <x v="0"/>
    <x v="0"/>
    <s v="Sedan"/>
    <s v="Subcompact_Compact Car"/>
    <s v="Standard"/>
    <x v="2"/>
    <s v="Under $25,000"/>
    <s v="Patricia Martinez"/>
    <s v="Patricia"/>
    <s v="Martinez"/>
    <s v="p.martinez@gmail.com"/>
    <s v="metro honda"/>
    <s v="metro honda"/>
    <s v="Northeast"/>
    <s v="Gasoline"/>
    <s v="1.5L"/>
    <s v="Silver"/>
    <n v="19000"/>
    <n v="2021"/>
    <d v="2454-02-26T00:00:00"/>
    <d v="2024-03-31T00:00:00"/>
    <s v="Mar"/>
    <s v="Q1"/>
  </r>
  <r>
    <s v="1HGCV1F36JA123451"/>
    <x v="0"/>
    <x v="0"/>
    <s v="Sedan"/>
    <s v="Subcompact_Compact Car"/>
    <s v="Standard"/>
    <x v="2"/>
    <s v="Under $25,000"/>
    <s v="Patricia Martinez"/>
    <s v="Patricia"/>
    <s v="Martinez"/>
    <s v="p.martinez@gmail.com"/>
    <s v="metro honda"/>
    <s v="metro honda"/>
    <s v="Northeast"/>
    <s v="Gasoline"/>
    <s v="1.5L"/>
    <s v="Silver"/>
    <n v="19000"/>
    <n v="2021"/>
    <d v="2454-02-26T00:00:00"/>
    <d v="2024-03-31T00:00:00"/>
    <s v="Mar"/>
    <s v="Q1"/>
  </r>
  <r>
    <s v="4T1BF1FK8EU123456"/>
    <x v="0"/>
    <x v="0"/>
    <s v="Sedan"/>
    <s v="Subcompact_Compact Car"/>
    <s v="Standard"/>
    <x v="2"/>
    <s v="Under $25,000"/>
    <s v="James Anderson"/>
    <s v="James"/>
    <s v="Anderson"/>
    <s v="james.anderson@email.com"/>
    <s v="Toyota Center"/>
    <s v="Toyota Center"/>
    <s v="West"/>
    <s v="Hybrid"/>
    <s v="2.5L"/>
    <s v="Blue"/>
    <n v="14000"/>
    <n v="2022"/>
    <d v="2454-02-26T00:00:00"/>
    <d v="2024-03-31T00:00:00"/>
    <s v="Mar"/>
    <s v="Q1"/>
  </r>
  <r>
    <s v="1FTEW1E50JKF12345"/>
    <x v="0"/>
    <x v="2"/>
    <s v="Sedan"/>
    <s v="Mid_Full-Size Car"/>
    <s v="Standard"/>
    <x v="3"/>
    <s v="$25K-$39.9K"/>
    <s v="Daniel Harris"/>
    <s v="Daniel"/>
    <s v="Harris"/>
    <s v="d.harris@email.com"/>
    <s v="Ford Country"/>
    <s v="Ford Country"/>
    <s v="Midwest"/>
    <s v="Gasoline"/>
    <s v="5.0L"/>
    <s v="Red"/>
    <n v="21000"/>
    <n v="2021"/>
    <d v="2454-02-26T00:00:00"/>
    <d v="2024-03-31T00:00:00"/>
    <s v="Mar"/>
    <s v="Q1"/>
  </r>
  <r>
    <s v="4T1BF1FK3EU123461"/>
    <x v="0"/>
    <x v="3"/>
    <s v="Sedan"/>
    <s v="Full-Size Car"/>
    <s v="Standard"/>
    <x v="4"/>
    <s v="$25K-$39.9K"/>
    <s v="Philip Martin"/>
    <s v="Philip"/>
    <s v="Martin"/>
    <s v="p.martin@email.com"/>
    <s v="Toyota Center"/>
    <s v="Toyota Center"/>
    <s v="West"/>
    <s v="Gasoline"/>
    <s v="3.5L"/>
    <s v="Black"/>
    <n v="17000"/>
    <n v="2021"/>
    <d v="2454-03-02T00:00:00"/>
    <d v="2024-07-31T00:00:00"/>
    <s v="Jul"/>
    <s v="Q3"/>
  </r>
  <r>
    <s v="1C4RJFBG7KC123461"/>
    <x v="0"/>
    <x v="1"/>
    <s v="Hatchback"/>
    <s v="Hybrid"/>
    <s v="Eco-Friendly"/>
    <x v="1"/>
    <s v="$25K-$39.9K"/>
    <s v="Gloria Lee"/>
    <s v="Gloria"/>
    <s v="Lee"/>
    <s v="g.lee@gmail.com"/>
    <s v="jeep nation"/>
    <s v="jeep nation"/>
    <s v="South"/>
    <s v="Gasoline"/>
    <s v="3.6L"/>
    <s v="Orange"/>
    <n v="11000"/>
    <n v="2023"/>
    <d v="2454-03-02T00:00:00"/>
    <d v="2024-07-31T00:00:00"/>
    <s v="Jul"/>
    <s v="Q3"/>
  </r>
  <r>
    <s v="4T1BF1FK4EU123462"/>
    <x v="0"/>
    <x v="4"/>
    <s v="SUV"/>
    <s v="Compact SUV"/>
    <s v="Standard"/>
    <x v="5"/>
    <s v="$40K-$59.9K"/>
    <s v="Martha Anderson"/>
    <s v="Martha"/>
    <s v="Anderson"/>
    <s v="m.anderson@email.com"/>
    <s v="Toyota Center"/>
    <s v="Toyota Center"/>
    <s v="West"/>
    <s v="Gasoline"/>
    <s v="5.7L"/>
    <s v="Black"/>
    <n v="28000"/>
    <n v="2019"/>
    <d v="2454-03-02T00:00:00"/>
    <d v="2024-07-31T00:00:00"/>
    <s v="Jul"/>
    <s v="Q3"/>
  </r>
  <r>
    <s v="1G1ZB5ST3JF123462"/>
    <x v="0"/>
    <x v="0"/>
    <s v="Sedan"/>
    <s v="Subcompact_Compact Car"/>
    <s v="Standard"/>
    <x v="2"/>
    <s v="Under $25,000"/>
    <s v="Sandra Harris"/>
    <s v="Sandra"/>
    <s v="Harris"/>
    <s v="s.harris@email.com"/>
    <s v="Chevy World"/>
    <s v="Chevy World"/>
    <s v="Midwest"/>
    <s v="Gasoline"/>
    <s v="5.3L"/>
    <s v="Gray"/>
    <n v="25000"/>
    <n v="2020"/>
    <d v="2454-03-02T00:00:00"/>
    <d v="2024-07-31T00:00:00"/>
    <s v="Jul"/>
    <s v="Q3"/>
  </r>
  <r>
    <s v="1HGCV1F43JA123463"/>
    <x v="0"/>
    <x v="5"/>
    <s v="SUV"/>
    <s v="Mid_Full-Size SUV"/>
    <s v="Standard"/>
    <x v="6"/>
    <s v="$25K-$39.9K"/>
    <s v="Betty Thompson"/>
    <s v="Betty"/>
    <s v="Thompson"/>
    <s v="b.thompson@email.com"/>
    <s v="metro honda"/>
    <s v="metro honda"/>
    <s v="Northeast"/>
    <s v="Gasoline"/>
    <s v="3.5L"/>
    <s v="Silver"/>
    <n v="22000"/>
    <n v="2021"/>
    <d v="2454-03-03T00:00:00"/>
    <d v="2024-08-31T00:00:00"/>
    <s v="Aug"/>
    <s v="Q3"/>
  </r>
  <r>
    <s v="4T1BF1FK5EU123463"/>
    <x v="0"/>
    <x v="6"/>
    <s v="SUV"/>
    <s v="Mid_Full-Size SUV"/>
    <s v="Luxury_Performance"/>
    <x v="7"/>
    <s v="$40K-$59.9K"/>
    <s v="Kenneth Garcia"/>
    <s v="Kenneth"/>
    <s v="Garcia"/>
    <s v="k.garcia@email.com"/>
    <s v="Toyota Center"/>
    <s v="Toyota Center"/>
    <s v="West"/>
    <s v="Hybrid"/>
    <s v="2.5L"/>
    <s v="White"/>
    <n v="15000"/>
    <n v="2022"/>
    <d v="2454-03-03T00:00:00"/>
    <d v="2024-08-31T00:00:00"/>
    <s v="Aug"/>
    <s v="Q3"/>
  </r>
  <r>
    <s v="KM8J3CA52JU123463"/>
    <x v="0"/>
    <x v="7"/>
    <s v="Sedan"/>
    <s v="Full-Size Car"/>
    <s v="Standard"/>
    <x v="8"/>
    <s v="$40K-$59.9K"/>
    <s v="Donald Wilson"/>
    <s v="Donald"/>
    <s v="Wilson"/>
    <s v="d.wilson@email.com"/>
    <s v="Hyundai Plus"/>
    <s v="Hyundai Plus"/>
    <s v="West"/>
    <s v="Hydrogen"/>
    <s v="UNKNOWN"/>
    <s v="Blue"/>
    <n v="27000"/>
    <n v="2019"/>
    <d v="2454-03-03T00:00:00"/>
    <d v="2024-08-31T00:00:00"/>
    <s v="Aug"/>
    <s v="Q3"/>
  </r>
  <r>
    <s v="4T1BF1FK6EU123464"/>
    <x v="0"/>
    <x v="8"/>
    <s v="SUV"/>
    <s v="Compact SUV"/>
    <s v="Standard"/>
    <x v="9"/>
    <s v="$25K-$39.9K"/>
    <s v="Michelle Jackson"/>
    <s v="Michelle"/>
    <s v="Jackson"/>
    <s v="m.jackson@gmail.com"/>
    <s v="Toyota Center"/>
    <s v="Toyota Center"/>
    <s v="West"/>
    <s v="Gasoline"/>
    <s v="4.0L"/>
    <s v="Yellow"/>
    <n v="40000"/>
    <n v="2017"/>
    <d v="2454-03-03T00:00:00"/>
    <d v="2024-08-31T00:00:00"/>
    <s v="Aug"/>
    <s v="Q3"/>
  </r>
  <r>
    <s v="KM8J3CA53JU123464"/>
    <x v="0"/>
    <x v="6"/>
    <s v="SUV"/>
    <s v="Mid_Full-Size SUV"/>
    <s v="Luxury_Performance"/>
    <x v="7"/>
    <s v="$40K-$59.9K"/>
    <s v="Angela Harris"/>
    <s v="Angela"/>
    <s v="Harris"/>
    <s v="a.harris@email.com"/>
    <s v="Hyundai Plus"/>
    <s v="Hyundai Plus"/>
    <s v="West"/>
    <s v="Gasoline"/>
    <s v="3.8L"/>
    <s v="Black"/>
    <n v="42000"/>
    <n v="2017"/>
    <d v="2454-03-03T00:00:00"/>
    <d v="2024-08-31T00:00:00"/>
    <s v="Aug"/>
    <s v="Q3"/>
  </r>
  <r>
    <s v="4T1BF1FK7EU123465"/>
    <x v="0"/>
    <x v="9"/>
    <s v="SUV"/>
    <s v="Compact SUV"/>
    <s v="Standard"/>
    <x v="10"/>
    <s v="$25K-$39.9K"/>
    <s v="Amy Moore"/>
    <s v="Amy"/>
    <s v="Moore"/>
    <s v="a.moore@email.com"/>
    <s v="Toyota Center"/>
    <s v="Toyota Center"/>
    <s v="West"/>
    <s v="Gasoline"/>
    <s v="2.7L"/>
    <s v="Silver"/>
    <n v="24000"/>
    <n v="2020"/>
    <d v="2454-03-04T00:00:00"/>
    <d v="2024-09-30T00:00:00"/>
    <s v="Sep"/>
    <s v="Q3"/>
  </r>
  <r>
    <s v="KM8J3CA54JU123465"/>
    <x v="0"/>
    <x v="1"/>
    <s v="Hatchback"/>
    <s v="Hybrid"/>
    <s v="Eco-Friendly"/>
    <x v="1"/>
    <s v="$25K-$39.9K"/>
    <s v="Nicole Anderson"/>
    <s v="Nicole"/>
    <s v="Anderson"/>
    <s v="n.anderson@email.com"/>
    <s v="Hyundai Plus"/>
    <s v="Hyundai Plus"/>
    <s v="West"/>
    <s v="Gasoline"/>
    <s v="2.4L"/>
    <s v="Blue"/>
    <n v="31000"/>
    <n v="2019"/>
    <d v="2454-03-04T00:00:00"/>
    <d v="2024-09-30T00:00:00"/>
    <s v="Sep"/>
    <s v="Q3"/>
  </r>
  <r>
    <s v="1C4RJFBG9KC123465"/>
    <x v="0"/>
    <x v="6"/>
    <s v="SUV"/>
    <s v="Mid_Full-Size SUV"/>
    <s v="Luxury_Performance"/>
    <x v="7"/>
    <s v="$40K-$59.9K"/>
    <s v="Brandon Thomas"/>
    <s v="Brandon"/>
    <s v="Thomas"/>
    <s v="b.thomas@email.com"/>
    <s v="jeep nation"/>
    <s v="jeep nation"/>
    <s v="South"/>
    <s v="Gasoline"/>
    <s v="2.4L"/>
    <s v="Green"/>
    <n v="34000"/>
    <n v="2018"/>
    <d v="2454-03-04T00:00:00"/>
    <d v="2024-09-30T00:00:00"/>
    <s v="Sep"/>
    <s v="Q3"/>
  </r>
  <r>
    <s v="1HGCV1F46JA123466"/>
    <x v="0"/>
    <x v="6"/>
    <s v="SUV"/>
    <s v="Mid_Full-Size SUV"/>
    <s v="Luxury_Performance"/>
    <x v="7"/>
    <s v="$40K-$59.9K"/>
    <s v="Gregory Martin"/>
    <s v="Gregory"/>
    <s v="Martin"/>
    <s v="g.martin@email.com"/>
    <s v="metro honda"/>
    <s v="metro honda"/>
    <s v="Northeast"/>
    <s v="Gasoline"/>
    <s v="1.5L"/>
    <s v="Blue"/>
    <n v="21000"/>
    <n v="2021"/>
    <d v="2454-03-04T00:00:00"/>
    <d v="2024-09-30T00:00:00"/>
    <s v="Sep"/>
    <s v="Q3"/>
  </r>
  <r>
    <s v="4T1BF1FK8EU123466"/>
    <x v="0"/>
    <x v="10"/>
    <s v="Sedan"/>
    <s v="Subcompact_Compact Car"/>
    <s v="Standard"/>
    <x v="11"/>
    <s v="Under $25,000"/>
    <s v="Christina Thompson"/>
    <s v="Christina"/>
    <s v="Thompson"/>
    <s v="c.thompson@email.com"/>
    <s v="Toyota Center"/>
    <s v="Toyota Center"/>
    <s v="West"/>
    <s v="Gasoline"/>
    <s v="1.5L"/>
    <s v="Red"/>
    <n v="18000"/>
    <n v="2022"/>
    <d v="2454-03-04T00:00:00"/>
    <d v="2024-09-30T00:00:00"/>
    <s v="Sep"/>
    <s v="Q3"/>
  </r>
  <r>
    <s v="4T1BF1FK9EU123467"/>
    <x v="0"/>
    <x v="11"/>
    <s v="SUV"/>
    <s v="Compact SUV"/>
    <s v="Standard"/>
    <x v="12"/>
    <s v="$25K-$39.9K"/>
    <s v="Amanda Jackson"/>
    <s v="Amanda"/>
    <s v="Jackson"/>
    <s v="a.jackson2@gmail.com"/>
    <s v="Toyota Center"/>
    <s v="Toyota Center"/>
    <s v="West"/>
    <s v="Gasoline"/>
    <s v="2.0L"/>
    <s v="Black"/>
    <n v="18000"/>
    <n v="2022"/>
    <d v="2454-03-05T00:00:00"/>
    <d v="2024-10-31T00:00:00"/>
    <s v="Oct"/>
    <s v="Q4"/>
  </r>
  <r>
    <s v="KM8J3CA56JU123467"/>
    <x v="0"/>
    <x v="2"/>
    <s v="Sedan"/>
    <s v="Mid_Full-Size Car"/>
    <s v="Standard"/>
    <x v="3"/>
    <s v="$25K-$39.9K"/>
    <s v="Brittany Harris"/>
    <s v="Brittany"/>
    <s v="Harris"/>
    <s v="b.harris@email.com"/>
    <s v="Hyundai Plus"/>
    <s v="Hyundai Plus"/>
    <s v="West"/>
    <s v="Gasoline"/>
    <s v="2.0L"/>
    <s v="Blue"/>
    <n v="15000"/>
    <n v="2022"/>
    <d v="2454-03-05T00:00:00"/>
    <d v="2024-10-31T00:00:00"/>
    <s v="Oct"/>
    <s v="Q4"/>
  </r>
  <r>
    <s v="5YJSA1E34JF123468"/>
    <x v="0"/>
    <x v="5"/>
    <s v="SUV"/>
    <s v="Mid_Full-Size SUV"/>
    <s v="Standard"/>
    <x v="6"/>
    <s v="$25K-$39.9K"/>
    <s v="Rachel Lee"/>
    <s v="Rachel"/>
    <s v="Lee"/>
    <s v="r.lee2@gmail.com"/>
    <s v="Tesla Direct"/>
    <s v="Tesla Direct"/>
    <s v="West"/>
    <s v="Electric"/>
    <s v="UNKNOWN"/>
    <s v="Silver"/>
    <n v="2500"/>
    <n v="2024"/>
    <d v="2454-03-05T00:00:00"/>
    <d v="2024-10-31T00:00:00"/>
    <s v="Oct"/>
    <s v="Q4"/>
  </r>
  <r>
    <s v="1HGCV1F48JA123468"/>
    <x v="0"/>
    <x v="1"/>
    <s v="Hatchback"/>
    <s v="Hybrid"/>
    <s v="Eco-Friendly"/>
    <x v="1"/>
    <s v="$25K-$39.9K"/>
    <s v="Sean Wilson"/>
    <s v="Sean"/>
    <s v="Wilson"/>
    <s v="s.wilson@email.com"/>
    <s v="metro honda"/>
    <s v="metro honda"/>
    <s v="Northeast"/>
    <s v="Hybrid"/>
    <s v="1.5L"/>
    <s v="White"/>
    <n v="11000"/>
    <n v="2023"/>
    <d v="2454-03-05T00:00:00"/>
    <d v="2024-10-31T00:00:00"/>
    <s v="Oct"/>
    <s v="Q4"/>
  </r>
  <r>
    <s v="4T1BF1FK0EU123468"/>
    <x v="0"/>
    <x v="7"/>
    <s v="Sedan"/>
    <s v="Full-Size Car"/>
    <s v="Standard"/>
    <x v="8"/>
    <s v="$40K-$59.9K"/>
    <s v="Courtney Moore"/>
    <s v="Courtney"/>
    <s v="Moore"/>
    <s v="c.moore@email.com"/>
    <s v="Toyota Center"/>
    <s v="Toyota Center"/>
    <s v="West"/>
    <s v="Hydrogen"/>
    <s v="UNKNOWN"/>
    <s v="Blue"/>
    <n v="5000"/>
    <n v="2024"/>
    <d v="2454-03-05T00:00:00"/>
    <d v="2024-10-31T00:00:00"/>
    <s v="Oct"/>
    <s v="Q4"/>
  </r>
  <r>
    <s v="1C4RJFBG2KC123468"/>
    <x v="0"/>
    <x v="5"/>
    <s v="SUV"/>
    <s v="Mid_Full-Size SUV"/>
    <s v="Standard"/>
    <x v="6"/>
    <s v="$25K-$39.9K"/>
    <s v="Devin Thomas"/>
    <s v="Devin"/>
    <s v="Thomas"/>
    <s v="d.thomas2@email.com"/>
    <s v="jeep nation"/>
    <s v="jeep nation"/>
    <s v="South"/>
    <s v="Hybrid"/>
    <s v="2.0L"/>
    <s v="Black"/>
    <n v="6000"/>
    <n v="2024"/>
    <d v="2454-03-05T00:00:00"/>
    <d v="2024-10-31T00:00:00"/>
    <s v="Oct"/>
    <s v="Q4"/>
  </r>
  <r>
    <s v="4T1BF1FK1EU123469"/>
    <x v="0"/>
    <x v="6"/>
    <s v="SUV"/>
    <s v="Mid_Full-Size SUV"/>
    <s v="Luxury_Performance"/>
    <x v="7"/>
    <s v="$40K-$59.9K"/>
    <s v="Jenna Thompson"/>
    <s v="Jenna"/>
    <s v="Thompson"/>
    <s v="j.thompson3@email.com"/>
    <s v="Toyota Center"/>
    <s v="Toyota Center"/>
    <s v="West"/>
    <s v="Electric"/>
    <s v="UNKNOWN"/>
    <s v="Blue"/>
    <n v="4500"/>
    <n v="2024"/>
    <d v="2454-03-06T00:00:00"/>
    <d v="2024-11-30T00:00:00"/>
    <s v="Nov"/>
    <s v="Q4"/>
  </r>
  <r>
    <s v="1N4AL3AP1JC123469"/>
    <x v="0"/>
    <x v="2"/>
    <s v="Sedan"/>
    <s v="Mid_Full-Size Car"/>
    <s v="Standard"/>
    <x v="3"/>
    <s v="$25K-$39.9K"/>
    <s v="Cameron Garcia"/>
    <s v="Cameron"/>
    <s v="Garcia"/>
    <s v="c.garcia2@email.com"/>
    <s v="Nissan Direct"/>
    <s v="Nissan Direct"/>
    <s v="South"/>
    <s v="Electric"/>
    <s v="UNKNOWN"/>
    <s v="Black"/>
    <n v="3500"/>
    <n v="2024"/>
    <d v="2454-03-06T00:00:00"/>
    <d v="2024-11-30T00:00:00"/>
    <s v="Nov"/>
    <s v="Q4"/>
  </r>
  <r>
    <s v="4T1BF1FK2EU123470"/>
    <x v="0"/>
    <x v="7"/>
    <s v="Sedan"/>
    <s v="Full-Size Car"/>
    <s v="Standard"/>
    <x v="8"/>
    <s v="$40K-$59.9K"/>
    <s v="Sierra Jackson"/>
    <s v="Sierra"/>
    <s v="Jackson"/>
    <s v="s.jackson2@gmail.com"/>
    <s v="Toyota Center"/>
    <s v="Toyota Center"/>
    <s v="West"/>
    <s v="Hydrogen"/>
    <s v="UNKNOWN"/>
    <s v="Yellow"/>
    <n v="6000"/>
    <n v="2023"/>
    <d v="2454-03-06T00:00:00"/>
    <d v="2024-11-30T00:00:00"/>
    <s v="Nov"/>
    <s v="Q4"/>
  </r>
  <r>
    <s v="1N4AL3AP2JC123470"/>
    <x v="0"/>
    <x v="2"/>
    <s v="Sedan"/>
    <s v="Mid_Full-Size Car"/>
    <s v="Standard"/>
    <x v="3"/>
    <s v="$25K-$39.9K"/>
    <s v="Parker White"/>
    <s v="Parker"/>
    <s v="White"/>
    <s v="p.white@email.com"/>
    <s v="Nissan Direct"/>
    <s v="Nissan Direct"/>
    <s v="South"/>
    <s v="Gasoline"/>
    <s v="3.0L"/>
    <s v="Silver"/>
    <n v="4000"/>
    <n v="2024"/>
    <d v="2454-03-06T00:00:00"/>
    <d v="2024-11-30T00:00:00"/>
    <s v="Nov"/>
    <s v="Q4"/>
  </r>
  <r>
    <s v="1C4RJFBG4KC123470"/>
    <x v="0"/>
    <x v="6"/>
    <s v="SUV"/>
    <s v="Mid_Full-Size SUV"/>
    <s v="Luxury_Performance"/>
    <x v="7"/>
    <s v="$40K-$59.9K"/>
    <s v="Hunter Martin"/>
    <s v="Hunter"/>
    <s v="Martin"/>
    <s v="h.martin@gmail.com"/>
    <s v="jeep nation"/>
    <s v="jeep nation"/>
    <s v="South"/>
    <s v="Gasoline"/>
    <s v="5.7L"/>
    <s v="Black"/>
    <n v="8000"/>
    <n v="2023"/>
    <d v="2454-03-06T00:00:00"/>
    <d v="2024-11-30T00:00:00"/>
    <s v="Nov"/>
    <s v="Q4"/>
  </r>
  <r>
    <s v="4T1BF1FK3EU123471"/>
    <x v="0"/>
    <x v="7"/>
    <s v="Sedan"/>
    <s v="Full-Size Car"/>
    <s v="Standard"/>
    <x v="8"/>
    <s v="$40K-$59.9K"/>
    <s v="Brooke Moore"/>
    <s v="Brooke"/>
    <s v="Moore"/>
    <s v="b.moore@email.com"/>
    <s v="Toyota Center"/>
    <s v="Toyota Center"/>
    <s v="West"/>
    <s v="Hydrogen"/>
    <s v="UNKNOWN"/>
    <s v="Blue"/>
    <n v="3000"/>
    <n v="2024"/>
    <d v="2454-03-07T00:00:00"/>
    <d v="2024-12-31T00:00:00"/>
    <s v="Dec"/>
    <s v="Q4"/>
  </r>
  <r>
    <s v="KM8J3CA60JU123471"/>
    <x v="0"/>
    <x v="5"/>
    <s v="SUV"/>
    <s v="Mid_Full-Size SUV"/>
    <s v="Standard"/>
    <x v="6"/>
    <s v="$25K-$39.9K"/>
    <s v="Peyton Anderson"/>
    <s v="Peyton"/>
    <s v="Anderson"/>
    <s v="p.anderson2@email.com"/>
    <s v="Hyundai Plus"/>
    <s v="Hyundai Plus"/>
    <s v="West"/>
    <s v="Gasoline"/>
    <s v="3.3L"/>
    <s v="Silver"/>
    <n v="3500"/>
    <n v="2024"/>
    <d v="2454-03-07T00:00:00"/>
    <d v="2024-12-31T00:00:00"/>
    <s v="Dec"/>
    <s v="Q4"/>
  </r>
  <r>
    <s v="1C4RJFBG5KC123471"/>
    <x v="0"/>
    <x v="2"/>
    <s v="Sedan"/>
    <s v="Mid_Full-Size Car"/>
    <s v="Standard"/>
    <x v="3"/>
    <s v="$25K-$39.9K"/>
    <s v="Bryce Thomas"/>
    <s v="Bryce"/>
    <s v="Thomas"/>
    <s v="b.thomas2@email.com"/>
    <s v="jeep nation"/>
    <s v="jeep nation"/>
    <s v="South"/>
    <s v="Gasoline"/>
    <s v="6.4L"/>
    <s v="Gray"/>
    <n v="5000"/>
    <n v="2024"/>
    <d v="2454-03-07T00:00:00"/>
    <d v="2024-12-31T00:00:00"/>
    <s v="Dec"/>
    <s v="Q4"/>
  </r>
  <r>
    <s v="1HGBH41JXMN109186"/>
    <x v="1"/>
    <x v="12"/>
    <s v="Sedan"/>
    <s v="Subcompact_Compact Car"/>
    <s v="Standard"/>
    <x v="0"/>
    <s v="Under $25,000"/>
    <s v="John Smith"/>
    <s v="John"/>
    <s v="Smith"/>
    <s v="john.smith@email.com"/>
    <s v="metro honda"/>
    <s v="metro honda"/>
    <s v="Northeast"/>
    <s v="Gasoline"/>
    <s v="1.5L"/>
    <s v="Blue"/>
    <n v="15000"/>
    <n v="2021"/>
    <d v="2454-02-24T00:00:00"/>
    <d v="2024-01-31T00:00:00"/>
    <s v="Jan"/>
    <s v="Q1"/>
  </r>
  <r>
    <s v="3N1AB7AP9HY123456"/>
    <x v="2"/>
    <x v="13"/>
    <s v="Sedan"/>
    <s v="Full-Size Car"/>
    <s v="Standard"/>
    <x v="13"/>
    <s v="$25K-$39.9K"/>
    <s v="Mike Davis"/>
    <s v="Mike"/>
    <s v="Davis"/>
    <s v="m.davis@yahoo.com"/>
    <m/>
    <s v="UNKNOWN"/>
    <s v="Northeast"/>
    <s v="Gasoline"/>
    <s v="2.5L"/>
    <s v="Silver"/>
    <n v="22000"/>
    <n v="2020"/>
    <d v="2454-02-25T00:00:00"/>
    <d v="2024-02-29T00:00:00"/>
    <s v="Feb"/>
    <s v="Q1"/>
  </r>
  <r>
    <s v="5NPE34AF5KH654329"/>
    <x v="3"/>
    <x v="14"/>
    <s v="Sedan"/>
    <s v="Subcompact_Compact Car"/>
    <s v="Standard"/>
    <x v="14"/>
    <s v="Under $25,000"/>
    <s v="Lisa Chen"/>
    <s v="Lisa"/>
    <s v="Chen"/>
    <s v="lisa.chen@outlook.com"/>
    <s v="Hyundai Plus"/>
    <s v="Hyundai Plus"/>
    <s v="West"/>
    <s v="Gasoline"/>
    <s v="2.0L"/>
    <s v="Red"/>
    <n v="12000"/>
    <n v="2022"/>
    <d v="2454-02-25T00:00:00"/>
    <d v="2024-02-29T00:00:00"/>
    <s v="Feb"/>
    <s v="Q1"/>
  </r>
  <r>
    <s v="1C4RJFAG8KC321654"/>
    <x v="4"/>
    <x v="15"/>
    <s v="SUV"/>
    <s v="Compact SUV"/>
    <s v="Standard"/>
    <x v="15"/>
    <s v="$25K-$39.9K"/>
    <s v="Amanda Taylor"/>
    <s v="Amanda"/>
    <s v="Taylor"/>
    <s v="a.taylor@gmail.com"/>
    <s v="jeep nation"/>
    <s v="jeep nation"/>
    <s v="South"/>
    <s v="Gasoline"/>
    <s v="3.6L"/>
    <s v="Gray"/>
    <n v="35000"/>
    <n v="2020"/>
    <d v="2454-02-25T00:00:00"/>
    <d v="2024-02-29T00:00:00"/>
    <s v="Feb"/>
    <s v="Q1"/>
  </r>
  <r>
    <s v="5YJSA1E26JF123456"/>
    <x v="5"/>
    <x v="16"/>
    <s v="Sedan"/>
    <s v="Full-Size Car"/>
    <s v="Luxury_Performance"/>
    <x v="16"/>
    <s v="$60K-$89.9K"/>
    <s v="Michael Rodriguez"/>
    <s v="Michael"/>
    <s v="Rodriguez"/>
    <s v="mrodriguez@email.com"/>
    <s v="Tesla Direct"/>
    <s v="Tesla Direct"/>
    <s v="West"/>
    <s v="Electric"/>
    <s v="UNKNOWN"/>
    <s v="Red"/>
    <n v="8000"/>
    <n v="2023"/>
    <d v="2454-02-26T00:00:00"/>
    <d v="2024-03-31T00:00:00"/>
    <s v="Mar"/>
    <s v="Q1"/>
  </r>
  <r>
    <s v="1N4AL3AP8JC123456"/>
    <x v="2"/>
    <x v="13"/>
    <s v="Sedan"/>
    <s v="Full-Size Car"/>
    <s v="Standard"/>
    <x v="17"/>
    <s v="$25K-$39.9K"/>
    <s v="Mary Thomas"/>
    <s v="Mary"/>
    <s v="Thomas"/>
    <s v="mthomas@email.com"/>
    <s v="Nissan Direct"/>
    <s v="Nissan Direct"/>
    <s v="South"/>
    <s v="Gasoline"/>
    <s v="2.5L"/>
    <s v="UNKNOWN"/>
    <n v="26000"/>
    <n v="2020"/>
    <d v="2454-02-26T00:00:00"/>
    <d v="2024-03-31T00:00:00"/>
    <s v="Mar"/>
    <s v="Q1"/>
  </r>
  <r>
    <s v="1C4RJFBG3KC123456"/>
    <x v="4"/>
    <x v="15"/>
    <s v="SUV"/>
    <s v="Compact SUV"/>
    <s v="Standard"/>
    <x v="18"/>
    <s v="$40K-$59.9K"/>
    <s v="Elizabeth White"/>
    <s v="Elizabeth"/>
    <s v="White"/>
    <s v="e.white@email.com"/>
    <s v="jeep nation"/>
    <s v="jeep nation"/>
    <s v="South"/>
    <s v="Gasoline"/>
    <s v="3.6L"/>
    <s v="Black"/>
    <n v="29000"/>
    <n v="2020"/>
    <d v="2454-02-26T00:00:00"/>
    <d v="2024-03-31T00:00:00"/>
    <s v="Mar"/>
    <s v="Q1"/>
  </r>
  <r>
    <s v="KM8J3CA50JU123461"/>
    <x v="3"/>
    <x v="17"/>
    <s v="Sedan"/>
    <s v="Subcompact_Compact Car"/>
    <s v="Standard"/>
    <x v="19"/>
    <s v="Under $25,000"/>
    <s v="Bobby Garcia"/>
    <s v="Bobby"/>
    <s v="Garcia"/>
    <s v="b.garcia@email.com"/>
    <s v="Hyundai Plus"/>
    <s v="Hyundai Plus"/>
    <s v="West"/>
    <s v="Gasoline"/>
    <s v="1.6L"/>
    <s v="Red"/>
    <n v="14000"/>
    <n v="2022"/>
    <d v="2454-03-02T00:00:00"/>
    <d v="2024-07-31T00:00:00"/>
    <s v="Jul"/>
    <s v="Q3"/>
  </r>
  <r>
    <s v="WBA8E9G63HNU12350"/>
    <x v="6"/>
    <x v="18"/>
    <s v="Sedan"/>
    <s v="Full-Size Car"/>
    <s v="Luxury_Performance"/>
    <x v="20"/>
    <s v="$60K-$89.9K"/>
    <s v="Keith Wilson"/>
    <s v="Keith"/>
    <s v="Wilson"/>
    <s v="k.wilson@email.com"/>
    <s v="BMW Elite"/>
    <s v="BMW Elite"/>
    <s v="Northeast"/>
    <s v="Gasoline"/>
    <s v="3.0L"/>
    <s v="Gray"/>
    <n v="26000"/>
    <n v="2020"/>
    <d v="2454-03-02T00:00:00"/>
    <d v="2024-07-31T00:00:00"/>
    <s v="Jul"/>
    <s v="Q3"/>
  </r>
  <r>
    <s v="1N4AL3AP4JC123465"/>
    <x v="2"/>
    <x v="19"/>
    <s v="SUV"/>
    <s v="Compact SUV"/>
    <s v="Standard"/>
    <x v="21"/>
    <s v="$40K-$59.9K"/>
    <s v="Terry Thomas"/>
    <s v="Terry"/>
    <s v="Thomas"/>
    <s v="t.thomas@email.com"/>
    <s v="Nissan Direct"/>
    <s v="Nissan Direct"/>
    <s v="South"/>
    <s v="Gasoline"/>
    <s v="5.6L"/>
    <s v="Blue"/>
    <n v="30000"/>
    <n v="2020"/>
    <d v="2454-03-02T00:00:00"/>
    <d v="2024-07-31T00:00:00"/>
    <s v="Jul"/>
    <s v="Q3"/>
  </r>
  <r>
    <s v="1FTEW1E55JKF12350"/>
    <x v="7"/>
    <x v="20"/>
    <s v="SUV"/>
    <s v="Compact SUV"/>
    <s v="Standard"/>
    <x v="15"/>
    <s v="$25K-$39.9K"/>
    <s v="Gerald White"/>
    <s v="Gerald"/>
    <s v="White"/>
    <s v="g.white@email.com"/>
    <s v="Ford Country"/>
    <s v="Ford Country"/>
    <s v="Midwest"/>
    <s v="Gasoline"/>
    <s v="2.3L"/>
    <s v="Green"/>
    <n v="9000"/>
    <n v="2023"/>
    <d v="2454-03-02T00:00:00"/>
    <d v="2024-07-31T00:00:00"/>
    <s v="Jul"/>
    <s v="Q3"/>
  </r>
  <r>
    <s v="WBA8E9G64HNU12359"/>
    <x v="6"/>
    <x v="21"/>
    <s v="Coupe"/>
    <s v="Luxury Coupe"/>
    <s v="Luxury_Performance"/>
    <x v="22"/>
    <s v="$90K-$129.9K"/>
    <s v="Paul Martin"/>
    <s v="Paul"/>
    <s v="Martin"/>
    <s v="p.martin2@email.com"/>
    <s v="BMW Elite"/>
    <s v="BMW Elite"/>
    <s v="Northeast"/>
    <s v="Gasoline"/>
    <s v="3.0L"/>
    <s v="Blue"/>
    <n v="18000"/>
    <n v="2022"/>
    <d v="2454-03-02T00:00:00"/>
    <d v="2024-07-31T00:00:00"/>
    <s v="Jul"/>
    <s v="Q3"/>
  </r>
  <r>
    <s v="1C4RJFBG8KC123464"/>
    <x v="4"/>
    <x v="22"/>
    <s v="SUV"/>
    <s v="Compact SUV"/>
    <s v="Standard"/>
    <x v="14"/>
    <s v="Under $25,000"/>
    <s v="Matthew Martin"/>
    <s v="Matthew"/>
    <s v="Martin"/>
    <s v="m.martin@gmail.com"/>
    <s v="jeep nation"/>
    <s v="jeep nation"/>
    <s v="South"/>
    <s v="Gasoline"/>
    <s v="3.7L"/>
    <s v="Silver"/>
    <n v="45000"/>
    <n v="2016"/>
    <d v="2454-03-03T00:00:00"/>
    <d v="2024-08-31T00:00:00"/>
    <s v="Aug"/>
    <s v="Q3"/>
  </r>
  <r>
    <s v="1G1ZB5ST6JF123465"/>
    <x v="8"/>
    <x v="23"/>
    <s v="SUV"/>
    <s v="Compact SUV"/>
    <s v="Standard"/>
    <x v="23"/>
    <s v="$25K-$39.9K"/>
    <s v="Zachary White"/>
    <s v="Zachary"/>
    <s v="White"/>
    <s v="z.white@email.com"/>
    <s v="Chevy World"/>
    <s v="Chevy World"/>
    <s v="Midwest"/>
    <s v="Gasoline"/>
    <s v="2.5L"/>
    <s v="Black"/>
    <n v="25000"/>
    <n v="2020"/>
    <d v="2454-03-04T00:00:00"/>
    <d v="2024-09-30T00:00:00"/>
    <s v="Sep"/>
    <s v="Q3"/>
  </r>
  <r>
    <s v="1FTEW1E59JKF12354"/>
    <x v="7"/>
    <x v="24"/>
    <s v="SUV"/>
    <s v="Compact SUV"/>
    <s v="Standard"/>
    <x v="14"/>
    <s v="Under $25,000"/>
    <s v="Megan Moore"/>
    <s v="Megan"/>
    <s v="Moore"/>
    <s v="m.moore2@email.com"/>
    <s v="Ford Country"/>
    <s v="Ford Country"/>
    <s v="Midwest"/>
    <s v="Gasoline"/>
    <s v="1.0L"/>
    <s v="White"/>
    <n v="19000"/>
    <n v="2021"/>
    <d v="2454-03-04T00:00:00"/>
    <d v="2024-09-30T00:00:00"/>
    <s v="Sep"/>
    <s v="Q3"/>
  </r>
  <r>
    <s v="1C4RJFBG1KC123467"/>
    <x v="4"/>
    <x v="25"/>
    <s v="SUV"/>
    <s v="Compact SUV"/>
    <s v="Standard"/>
    <x v="24"/>
    <s v="$25K-$39.9K"/>
    <s v="Tyler Martin"/>
    <s v="Tyler"/>
    <s v="Martin"/>
    <s v="t.martin@gmail.com"/>
    <s v="jeep nation"/>
    <s v="jeep nation"/>
    <s v="South"/>
    <s v="Gasoline"/>
    <s v="1.3L"/>
    <s v="Silver"/>
    <n v="13000"/>
    <n v="2023"/>
    <d v="2454-03-05T00:00:00"/>
    <d v="2024-10-31T00:00:00"/>
    <s v="Oct"/>
    <s v="Q4"/>
  </r>
  <r>
    <s v="1G1ZB5ST9JF123468"/>
    <x v="8"/>
    <x v="26"/>
    <s v="Sedan"/>
    <s v="Full-Size Car"/>
    <s v="Standard"/>
    <x v="25"/>
    <s v="$25K-$39.9K"/>
    <s v="Marcus White"/>
    <s v="Marcus"/>
    <s v="White"/>
    <s v="m.white@email.com"/>
    <s v="Chevy World"/>
    <s v="Chevy World"/>
    <s v="Midwest"/>
    <s v="Electric"/>
    <s v="UNKNOWN"/>
    <s v="Red"/>
    <n v="8000"/>
    <n v="2023"/>
    <d v="2454-03-05T00:00:00"/>
    <d v="2024-10-31T00:00:00"/>
    <s v="Oct"/>
    <s v="Q4"/>
  </r>
  <r>
    <s v="KM8J3CA59JU123470"/>
    <x v="3"/>
    <x v="27"/>
    <s v="Sedan"/>
    <s v="Full-Size Car"/>
    <s v="Standard"/>
    <x v="26"/>
    <s v="$25K-$39.9K"/>
    <s v="Savannah Harris"/>
    <s v="Savannah"/>
    <s v="Harris"/>
    <s v="s.harris3@email.com"/>
    <s v="Hyundai Plus"/>
    <s v="Hyundai Plus"/>
    <s v="West"/>
    <s v="Gasoline"/>
    <s v="2.0L"/>
    <s v="Red"/>
    <n v="5000"/>
    <n v="2024"/>
    <d v="2454-03-06T00:00:00"/>
    <d v="2024-11-30T00:00:00"/>
    <s v="Nov"/>
    <s v="Q4"/>
  </r>
  <r>
    <s v="1FTEW1E63JKF12358"/>
    <x v="7"/>
    <x v="28"/>
    <s v="SUV"/>
    <s v="Compact SUV"/>
    <s v="Standard"/>
    <x v="27"/>
    <s v="$25K-$39.9K"/>
    <s v="Destiny Thompson"/>
    <s v="Destiny"/>
    <s v="Thompson"/>
    <s v="d.thompson2@email.com"/>
    <s v="Ford Country"/>
    <s v="Ford Country"/>
    <s v="Midwest"/>
    <s v="Gasoline"/>
    <s v="1.5L"/>
    <s v="Green"/>
    <n v="9000"/>
    <n v="2023"/>
    <d v="2454-03-06T00:00:00"/>
    <d v="2024-11-30T00:00:00"/>
    <s v="Nov"/>
    <s v="Q4"/>
  </r>
  <r>
    <s v="WBA8E9G68HNU12355"/>
    <x v="6"/>
    <x v="29"/>
    <s v="Sedan"/>
    <s v="Full-Size Car"/>
    <s v="Luxury_Performance"/>
    <x v="28"/>
    <s v="$60K-$89.9K"/>
    <s v="Autumn Lee"/>
    <s v="Autumn"/>
    <s v="Lee"/>
    <s v="a.lee@gmail.com"/>
    <s v="BMW Elite"/>
    <s v="BMW Elite"/>
    <s v="Northeast"/>
    <s v="Gasoline"/>
    <s v="3.0L"/>
    <s v="White"/>
    <n v="6000"/>
    <n v="2023"/>
    <d v="2454-03-07T00:00:00"/>
    <d v="2024-12-31T00:00:00"/>
    <s v="Dec"/>
    <s v="Q4"/>
  </r>
  <r>
    <s v="1N4AL3AP3JC123479"/>
    <x v="2"/>
    <x v="30"/>
    <s v="Coupe"/>
    <s v="Other"/>
    <s v="Standard"/>
    <x v="29"/>
    <s v="$90K-$129.9K"/>
    <s v="Easton Taylor"/>
    <s v="Easton"/>
    <s v="Taylor"/>
    <s v="e.taylor@gmail.com"/>
    <s v="Nissan Direct"/>
    <s v="Nissan Direct"/>
    <s v="South"/>
    <s v="Gasoline"/>
    <s v="3.8L"/>
    <s v="Black"/>
    <n v="2500"/>
    <n v="2024"/>
    <d v="2454-03-07T00:00:00"/>
    <d v="2024-12-31T00:00:00"/>
    <s v="Dec"/>
    <s v="Q4"/>
  </r>
  <r>
    <s v="1C4RJFBG3KC123451"/>
    <x v="4"/>
    <x v="15"/>
    <s v="SUV"/>
    <s v="Compact SUV"/>
    <s v="Standard"/>
    <x v="18"/>
    <s v="$40K-$59.9K"/>
    <s v="Elizabeth White"/>
    <s v="Elizabeth"/>
    <s v="White"/>
    <s v="e.white@email.com"/>
    <s v="jeep nation"/>
    <s v="jeep nation"/>
    <s v="South"/>
    <s v="Gasoline"/>
    <s v="3.6L"/>
    <s v="Black"/>
    <n v="29000"/>
    <n v="2020"/>
    <d v="2454-02-26T00:00:00"/>
    <d v="2024-03-31T00:00:00"/>
    <s v="Mar"/>
    <s v="Q1"/>
  </r>
  <r>
    <s v="1FTEW1E59JKF12351"/>
    <x v="7"/>
    <x v="24"/>
    <s v="SUV"/>
    <s v="Compact SUV"/>
    <s v="Standard"/>
    <x v="14"/>
    <s v="Under $25,000"/>
    <s v="Megan Moore"/>
    <s v="Megan"/>
    <s v="Moore"/>
    <s v="m.moore2@email.com"/>
    <s v="Ford Country"/>
    <s v="Ford Country"/>
    <s v="Midwest"/>
    <s v="Gasoline"/>
    <s v="1.0L"/>
    <s v="White"/>
    <n v="19000"/>
    <n v="2021"/>
    <d v="2454-03-04T00:00:00"/>
    <d v="2024-09-30T00:00:00"/>
    <s v="Sep"/>
    <s v="Q3"/>
  </r>
  <r>
    <s v="1N4AL3AP4JC123461"/>
    <x v="2"/>
    <x v="19"/>
    <s v="SUV"/>
    <s v="Compact SUV"/>
    <s v="Standard"/>
    <x v="21"/>
    <s v="$40K-$59.9K"/>
    <s v="Terry Thomas"/>
    <s v="Terry"/>
    <s v="Thomas"/>
    <s v="t.thomas@email.com"/>
    <s v="Nissan Direct"/>
    <s v="Nissan Direct"/>
    <s v="South"/>
    <s v="Gasoline"/>
    <s v="5.6L"/>
    <s v="Blue"/>
    <n v="30000"/>
    <n v="2020"/>
    <d v="2454-03-02T00:00:00"/>
    <d v="2024-07-31T00:00:00"/>
    <s v="Jul"/>
    <s v="Q3"/>
  </r>
  <r>
    <s v="1C4RJFBG1KC123461"/>
    <x v="4"/>
    <x v="25"/>
    <s v="SUV"/>
    <s v="Compact SUV"/>
    <s v="Standard"/>
    <x v="24"/>
    <s v="$25K-$39.9K"/>
    <s v="Tyler Martin"/>
    <s v="Tyler"/>
    <s v="Martin"/>
    <s v="t.martin@gmail.com"/>
    <s v="jeep nation"/>
    <s v="jeep nation"/>
    <s v="South"/>
    <s v="Gasoline"/>
    <s v="1.3L"/>
    <s v="Silver"/>
    <n v="13000"/>
    <n v="2023"/>
    <d v="2454-03-05T00:00:00"/>
    <d v="2024-10-31T00:00:00"/>
    <s v="Oct"/>
    <s v="Q4"/>
  </r>
  <r>
    <s v="1C4RJFBG3KC123452"/>
    <x v="4"/>
    <x v="15"/>
    <s v="SUV"/>
    <s v="Compact SUV"/>
    <s v="Standard"/>
    <x v="18"/>
    <s v="$40K-$59.9K"/>
    <s v="Elizabeth White"/>
    <s v="Elizabeth"/>
    <s v="White"/>
    <s v="e.white@email.com"/>
    <s v="jeep nation"/>
    <s v="jeep nation"/>
    <s v="South"/>
    <s v="Gasoline"/>
    <s v="3.6L"/>
    <s v="Black"/>
    <n v="29000"/>
    <n v="2020"/>
    <d v="2454-02-26T00:00:00"/>
    <d v="2024-03-31T00:00:00"/>
    <s v="Mar"/>
    <s v="Q1"/>
  </r>
  <r>
    <s v="1N4AL3AP3JC123471"/>
    <x v="2"/>
    <x v="30"/>
    <s v="Coupe"/>
    <s v="Other"/>
    <s v="Standard"/>
    <x v="29"/>
    <s v="$90K-$129.9K"/>
    <s v="Easton Taylor"/>
    <s v="Easton"/>
    <s v="Taylor"/>
    <s v="e.taylor@gmail.com"/>
    <s v="Nissan Direct"/>
    <s v="Nissan Direct"/>
    <s v="South"/>
    <s v="Gasoline"/>
    <s v="3.8L"/>
    <s v="Black"/>
    <n v="2500"/>
    <n v="2024"/>
    <d v="2454-03-07T00:00:00"/>
    <d v="2024-12-31T00:00:00"/>
    <s v="Dec"/>
    <s v="Q4"/>
  </r>
  <r>
    <s v="1G1ZB5ST6JF123461"/>
    <x v="8"/>
    <x v="23"/>
    <s v="SUV"/>
    <s v="Compact SUV"/>
    <s v="Standard"/>
    <x v="23"/>
    <s v="$25K-$39.9K"/>
    <s v="Zachary White"/>
    <s v="Zachary"/>
    <s v="White"/>
    <s v="z.white@email.com"/>
    <s v="Chevy World"/>
    <s v="Chevy World"/>
    <s v="Midwest"/>
    <s v="Gasoline"/>
    <s v="2.5L"/>
    <s v="Black"/>
    <n v="25000"/>
    <n v="2020"/>
    <d v="2454-03-04T00:00:00"/>
    <d v="2024-09-30T00:00:00"/>
    <s v="Sep"/>
    <s v="Q3"/>
  </r>
  <r>
    <s v="KM8J3CA59JU123471"/>
    <x v="3"/>
    <x v="27"/>
    <s v="Sedan"/>
    <s v="Full-Size Car"/>
    <s v="Standard"/>
    <x v="26"/>
    <s v="$25K-$39.9K"/>
    <s v="Savannah Harris"/>
    <s v="Savannah"/>
    <s v="Harris"/>
    <s v="s.harris3@email.com"/>
    <s v="Hyundai Plus"/>
    <s v="Hyundai Plus"/>
    <s v="West"/>
    <s v="Gasoline"/>
    <s v="2.0L"/>
    <s v="Red"/>
    <n v="5000"/>
    <n v="2024"/>
    <d v="2454-03-06T00:00:00"/>
    <d v="2024-11-30T00:00:00"/>
    <s v="Nov"/>
    <s v="Q4"/>
  </r>
  <r>
    <s v="1FTEW1E63JKF12351"/>
    <x v="7"/>
    <x v="28"/>
    <s v="SUV"/>
    <s v="Compact SUV"/>
    <s v="Standard"/>
    <x v="27"/>
    <s v="$25K-$39.9K"/>
    <s v="Destiny Thompson"/>
    <s v="Destiny"/>
    <s v="Thompson"/>
    <s v="d.thompson2@email.com"/>
    <s v="Ford Country"/>
    <s v="Ford Country"/>
    <s v="Midwest"/>
    <s v="Gasoline"/>
    <s v="1.5L"/>
    <s v="Green"/>
    <n v="9000"/>
    <n v="2023"/>
    <d v="2454-03-06T00:00:00"/>
    <d v="2024-11-30T00:00:00"/>
    <s v="Nov"/>
    <s v="Q4"/>
  </r>
  <r>
    <s v="1C4RJFBG1KC123462"/>
    <x v="4"/>
    <x v="25"/>
    <s v="SUV"/>
    <s v="Compact SUV"/>
    <s v="Standard"/>
    <x v="24"/>
    <s v="$25K-$39.9K"/>
    <s v="Tyler Martin"/>
    <s v="Tyler"/>
    <s v="Martin"/>
    <s v="t.martin@gmail.com"/>
    <s v="jeep nation"/>
    <s v="jeep nation"/>
    <s v="South"/>
    <s v="Gasoline"/>
    <s v="1.3L"/>
    <s v="Silver"/>
    <n v="13000"/>
    <n v="2023"/>
    <d v="2454-03-05T00:00:00"/>
    <d v="2024-10-31T00:00:00"/>
    <s v="Oct"/>
    <s v="Q4"/>
  </r>
  <r>
    <s v="1C4RJFAG8KC321651"/>
    <x v="4"/>
    <x v="15"/>
    <s v="SUV"/>
    <s v="Compact SUV"/>
    <s v="Standard"/>
    <x v="15"/>
    <s v="$25K-$39.9K"/>
    <s v="Amanda Taylor"/>
    <s v="Amanda"/>
    <s v="Taylor"/>
    <s v="a.taylor@gmail.com"/>
    <s v="jeep nation"/>
    <s v="jeep nation"/>
    <s v="South"/>
    <s v="Gasoline"/>
    <s v="3.6L"/>
    <s v="Gray"/>
    <n v="35000"/>
    <n v="2020"/>
    <d v="2454-02-25T00:00:00"/>
    <d v="2024-02-29T00:00:00"/>
    <s v="Feb"/>
    <s v="Q1"/>
  </r>
  <r>
    <s v="1FTEW1E63JKF12352"/>
    <x v="7"/>
    <x v="28"/>
    <s v="SUV"/>
    <s v="Compact SUV"/>
    <s v="Standard"/>
    <x v="27"/>
    <s v="$25K-$39.9K"/>
    <s v="Destiny Thompson"/>
    <s v="Destiny"/>
    <s v="Thompson"/>
    <s v="d.thompson2@email.com"/>
    <s v="Ford Country"/>
    <s v="Ford Country"/>
    <s v="Midwest"/>
    <s v="Gasoline"/>
    <s v="1.5L"/>
    <s v="Green"/>
    <n v="9000"/>
    <n v="2023"/>
    <d v="2454-03-06T00:00:00"/>
    <d v="2024-11-30T00:00:00"/>
    <s v="Nov"/>
    <s v="Q4"/>
  </r>
  <r>
    <s v="5NPE34AF5KH654321"/>
    <x v="3"/>
    <x v="14"/>
    <s v="Sedan"/>
    <s v="Subcompact_Compact Car"/>
    <s v="Standard"/>
    <x v="14"/>
    <s v="Under $25,000"/>
    <s v="Lisa Chen"/>
    <s v="Lisa"/>
    <s v="Chen"/>
    <s v="lisa.chen@outlook.com"/>
    <s v="Hyundai Plus"/>
    <s v="Hyundai Plus"/>
    <s v="West"/>
    <s v="Gasoline"/>
    <s v="2.0L"/>
    <s v="Red"/>
    <n v="12000"/>
    <n v="2022"/>
    <d v="2454-02-25T00:00:00"/>
    <d v="2024-02-29T00:00:00"/>
    <s v="Feb"/>
    <s v="Q1"/>
  </r>
  <r>
    <s v="1G1ZB5ST9JF123461"/>
    <x v="8"/>
    <x v="26"/>
    <s v="Sedan"/>
    <s v="Full-Size Car"/>
    <s v="Standard"/>
    <x v="25"/>
    <s v="$25K-$39.9K"/>
    <s v="Marcus White"/>
    <s v="Marcus"/>
    <s v="White"/>
    <s v="m.white@email.com"/>
    <s v="Chevy World"/>
    <s v="Chevy World"/>
    <s v="Midwest"/>
    <s v="Electric"/>
    <s v="UNKNOWN"/>
    <s v="Red"/>
    <n v="8000"/>
    <n v="2023"/>
    <d v="2454-03-05T00:00:00"/>
    <d v="2024-10-31T00:00:00"/>
    <s v="Oct"/>
    <s v="Q4"/>
  </r>
  <r>
    <s v="1C4RJFBG1KC123463"/>
    <x v="4"/>
    <x v="25"/>
    <s v="SUV"/>
    <s v="Compact SUV"/>
    <s v="Standard"/>
    <x v="24"/>
    <s v="$25K-$39.9K"/>
    <s v="Tyler Martin"/>
    <s v="Tyler"/>
    <s v="Martin"/>
    <s v="t.martin@gmail.com"/>
    <s v="jeep nation"/>
    <s v="jeep nation"/>
    <s v="South"/>
    <s v="Gasoline"/>
    <s v="1.3L"/>
    <s v="Silver"/>
    <n v="13000"/>
    <n v="2023"/>
    <d v="2454-03-05T00:00:00"/>
    <d v="2024-10-31T00:00:00"/>
    <s v="Oct"/>
    <s v="Q4"/>
  </r>
  <r>
    <s v="3N1AB7AP9HY123451"/>
    <x v="2"/>
    <x v="13"/>
    <s v="Sedan"/>
    <s v="Full-Size Car"/>
    <s v="Standard"/>
    <x v="13"/>
    <s v="$25K-$39.9K"/>
    <s v="Mike Davis"/>
    <s v="Mike"/>
    <s v="Davis"/>
    <s v="m.davis@yahoo.com"/>
    <m/>
    <s v="UNKNOWN"/>
    <s v="Northeast"/>
    <s v="Gasoline"/>
    <s v="2.5L"/>
    <s v="Silver"/>
    <n v="22000"/>
    <n v="2020"/>
    <d v="2454-02-25T00:00:00"/>
    <d v="2024-02-29T00:00:00"/>
    <s v="Feb"/>
    <s v="Q1"/>
  </r>
  <r>
    <s v="1FTEW1E63JKF12353"/>
    <x v="7"/>
    <x v="28"/>
    <s v="SUV"/>
    <s v="Compact SUV"/>
    <s v="Standard"/>
    <x v="27"/>
    <s v="$25K-$39.9K"/>
    <s v="Destiny Thompson"/>
    <s v="Destiny"/>
    <s v="Thompson"/>
    <s v="d.thompson2@email.com"/>
    <s v="Ford Country"/>
    <s v="Ford Country"/>
    <s v="Midwest"/>
    <s v="Gasoline"/>
    <s v="1.5L"/>
    <s v="Green"/>
    <n v="9000"/>
    <n v="2023"/>
    <d v="2454-03-06T00:00:00"/>
    <d v="2024-11-30T00:00:00"/>
    <s v="Nov"/>
    <s v="Q4"/>
  </r>
  <r>
    <s v="1N4AL3AP8JC123451"/>
    <x v="2"/>
    <x v="13"/>
    <s v="Sedan"/>
    <s v="Full-Size Car"/>
    <s v="Standard"/>
    <x v="17"/>
    <s v="$25K-$39.9K"/>
    <s v="Mary Thomas"/>
    <s v="Mary"/>
    <s v="Thomas"/>
    <s v="mthomas@email.com"/>
    <s v="Nissan Direct"/>
    <s v="Nissan Direct"/>
    <s v="South"/>
    <s v="Gasoline"/>
    <s v="2.5L"/>
    <s v="UNKNOWN"/>
    <n v="26000"/>
    <n v="2020"/>
    <d v="2454-02-26T00:00:00"/>
    <d v="2024-03-31T00:00:00"/>
    <s v="Mar"/>
    <s v="Q1"/>
  </r>
  <r>
    <s v="3N1AB7AP9HY123452"/>
    <x v="2"/>
    <x v="13"/>
    <s v="Sedan"/>
    <s v="Full-Size Car"/>
    <s v="Standard"/>
    <x v="13"/>
    <s v="$25K-$39.9K"/>
    <s v="Mike Davis"/>
    <s v="Mike"/>
    <s v="Davis"/>
    <s v="m.davis@yahoo.com"/>
    <m/>
    <s v="UNKNOWN"/>
    <s v="Northeast"/>
    <s v="Gasoline"/>
    <s v="2.5L"/>
    <s v="Silver"/>
    <n v="22000"/>
    <n v="2020"/>
    <d v="2454-02-25T00:00:00"/>
    <d v="2024-02-29T00:00:00"/>
    <s v="Feb"/>
    <s v="Q1"/>
  </r>
  <r>
    <s v="1C4RJFBG1KC123464"/>
    <x v="4"/>
    <x v="25"/>
    <s v="SUV"/>
    <s v="Compact SUV"/>
    <s v="Standard"/>
    <x v="24"/>
    <s v="$25K-$39.9K"/>
    <s v="Tyler Martin"/>
    <s v="Tyler"/>
    <s v="Martin"/>
    <s v="t.martin@gmail.com"/>
    <s v="jeep nation"/>
    <s v="jeep nation"/>
    <s v="South"/>
    <s v="Gasoline"/>
    <s v="1.3L"/>
    <s v="Silver"/>
    <n v="13000"/>
    <n v="2023"/>
    <d v="2454-03-05T00:00:00"/>
    <d v="2024-10-31T00:00:00"/>
    <s v="Oct"/>
    <s v="Q4"/>
  </r>
  <r>
    <s v="1HGBH41JXMN109181"/>
    <x v="1"/>
    <x v="12"/>
    <s v="Sedan"/>
    <s v="Subcompact_Compact Car"/>
    <s v="Standard"/>
    <x v="0"/>
    <s v="Under $25,000"/>
    <s v="John Smith"/>
    <s v="John"/>
    <s v="Smith"/>
    <s v="john.smith@email.com"/>
    <s v="metro honda"/>
    <s v="metro honda"/>
    <s v="Northeast"/>
    <s v="Gasoline"/>
    <s v="1.5L"/>
    <s v="Blue"/>
    <n v="15000"/>
    <n v="2021"/>
    <d v="2454-02-24T00:00:00"/>
    <d v="2024-01-31T00:00:00"/>
    <s v="Jan"/>
    <s v="Q1"/>
  </r>
  <r>
    <s v="1N4AL3AP3JC123472"/>
    <x v="2"/>
    <x v="30"/>
    <s v="Coupe"/>
    <s v="Other"/>
    <s v="Standard"/>
    <x v="29"/>
    <s v="$90K-$129.9K"/>
    <s v="Easton Taylor"/>
    <s v="Easton"/>
    <s v="Taylor"/>
    <s v="e.taylor@gmail.com"/>
    <s v="Nissan Direct"/>
    <s v="Nissan Direct"/>
    <s v="South"/>
    <s v="Gasoline"/>
    <s v="3.8L"/>
    <s v="Black"/>
    <n v="2500"/>
    <n v="2024"/>
    <d v="2454-03-07T00:00:00"/>
    <d v="2024-12-31T00:00:00"/>
    <s v="Dec"/>
    <s v="Q4"/>
  </r>
  <r>
    <s v="1G1ZB5ST9JF123462"/>
    <x v="8"/>
    <x v="26"/>
    <s v="Sedan"/>
    <s v="Full-Size Car"/>
    <s v="Standard"/>
    <x v="25"/>
    <s v="$25K-$39.9K"/>
    <s v="Marcus White"/>
    <s v="Marcus"/>
    <s v="White"/>
    <s v="m.white@email.com"/>
    <s v="Chevy World"/>
    <s v="Chevy World"/>
    <s v="Midwest"/>
    <s v="Electric"/>
    <s v="UNKNOWN"/>
    <s v="Red"/>
    <n v="8000"/>
    <n v="2023"/>
    <d v="2454-03-05T00:00:00"/>
    <d v="2024-10-31T00:00:00"/>
    <s v="Oct"/>
    <s v="Q4"/>
  </r>
  <r>
    <s v="WBA8E9G68HNU12351"/>
    <x v="6"/>
    <x v="29"/>
    <s v="Sedan"/>
    <s v="Full-Size Car"/>
    <s v="Luxury_Performance"/>
    <x v="28"/>
    <s v="$60K-$89.9K"/>
    <s v="Autumn Lee"/>
    <s v="Autumn"/>
    <s v="Lee"/>
    <s v="a.lee@gmail.com"/>
    <s v="BMW Elite"/>
    <s v="BMW Elite"/>
    <s v="Northeast"/>
    <s v="Gasoline"/>
    <s v="3.0L"/>
    <s v="White"/>
    <n v="6000"/>
    <n v="2023"/>
    <d v="2454-03-07T00:00:00"/>
    <d v="2024-12-31T00:00:00"/>
    <s v="Dec"/>
    <s v="Q4"/>
  </r>
  <r>
    <s v="WBA8E9G64HNU12351"/>
    <x v="6"/>
    <x v="21"/>
    <s v="Coupe"/>
    <s v="Luxury Coupe"/>
    <s v="Luxury_Performance"/>
    <x v="22"/>
    <s v="$90K-$129.9K"/>
    <s v="Paul Martin"/>
    <s v="Paul"/>
    <s v="Martin"/>
    <s v="p.martin2@email.com"/>
    <s v="BMW Elite"/>
    <s v="BMW Elite"/>
    <s v="Northeast"/>
    <s v="Gasoline"/>
    <s v="3.0L"/>
    <s v="Blue"/>
    <n v="18000"/>
    <n v="2022"/>
    <d v="2454-03-02T00:00:00"/>
    <d v="2024-07-31T00:00:00"/>
    <s v="Jul"/>
    <s v="Q3"/>
  </r>
  <r>
    <s v="1FTEW1E55JKF12351"/>
    <x v="7"/>
    <x v="20"/>
    <s v="SUV"/>
    <s v="Compact SUV"/>
    <s v="Standard"/>
    <x v="15"/>
    <s v="$25K-$39.9K"/>
    <s v="Gerald White"/>
    <s v="Gerald"/>
    <s v="White"/>
    <s v="g.white@email.com"/>
    <s v="Ford Country"/>
    <s v="Ford Country"/>
    <s v="Midwest"/>
    <s v="Gasoline"/>
    <s v="2.3L"/>
    <s v="Green"/>
    <n v="9000"/>
    <n v="2023"/>
    <d v="2454-03-02T00:00:00"/>
    <d v="2024-07-31T00:00:00"/>
    <s v="Jul"/>
    <s v="Q3"/>
  </r>
  <r>
    <s v="1N4AL3AP4JC123462"/>
    <x v="2"/>
    <x v="19"/>
    <s v="SUV"/>
    <s v="Compact SUV"/>
    <s v="Standard"/>
    <x v="21"/>
    <s v="$40K-$59.9K"/>
    <s v="Terry Thomas"/>
    <s v="Terry"/>
    <s v="Thomas"/>
    <s v="t.thomas@email.com"/>
    <s v="Nissan Direct"/>
    <s v="Nissan Direct"/>
    <s v="South"/>
    <s v="Gasoline"/>
    <s v="5.6L"/>
    <s v="Blue"/>
    <n v="30000"/>
    <n v="2020"/>
    <d v="2454-03-02T00:00:00"/>
    <d v="2024-07-31T00:00:00"/>
    <s v="Jul"/>
    <s v="Q3"/>
  </r>
  <r>
    <s v="1N4AL3AP4JC123463"/>
    <x v="2"/>
    <x v="19"/>
    <s v="SUV"/>
    <s v="Compact SUV"/>
    <s v="Standard"/>
    <x v="21"/>
    <s v="$40K-$59.9K"/>
    <s v="Terry Thomas"/>
    <s v="Terry"/>
    <s v="Thomas"/>
    <s v="t.thomas@email.com"/>
    <s v="Nissan Direct"/>
    <s v="Nissan Direct"/>
    <s v="South"/>
    <s v="Gasoline"/>
    <s v="5.6L"/>
    <s v="Blue"/>
    <n v="30000"/>
    <n v="2020"/>
    <d v="2454-03-02T00:00:00"/>
    <d v="2024-07-31T00:00:00"/>
    <s v="Jul"/>
    <s v="Q3"/>
  </r>
  <r>
    <s v="1G1ZB5ST6JF123462"/>
    <x v="8"/>
    <x v="23"/>
    <s v="SUV"/>
    <s v="Compact SUV"/>
    <s v="Standard"/>
    <x v="23"/>
    <s v="$25K-$39.9K"/>
    <s v="Zachary White"/>
    <s v="Zachary"/>
    <s v="White"/>
    <s v="z.white@email.com"/>
    <s v="Chevy World"/>
    <s v="Chevy World"/>
    <s v="Midwest"/>
    <s v="Gasoline"/>
    <s v="2.5L"/>
    <s v="Black"/>
    <n v="25000"/>
    <n v="2020"/>
    <d v="2454-03-04T00:00:00"/>
    <d v="2024-09-30T00:00:00"/>
    <s v="Sep"/>
    <s v="Q3"/>
  </r>
  <r>
    <s v="KM8J3CA59JU123472"/>
    <x v="3"/>
    <x v="27"/>
    <s v="Sedan"/>
    <s v="Full-Size Car"/>
    <s v="Standard"/>
    <x v="26"/>
    <s v="$25K-$39.9K"/>
    <s v="Savannah Harris"/>
    <s v="Savannah"/>
    <s v="Harris"/>
    <s v="s.harris3@email.com"/>
    <s v="Hyundai Plus"/>
    <s v="Hyundai Plus"/>
    <s v="West"/>
    <s v="Gasoline"/>
    <s v="2.0L"/>
    <s v="Red"/>
    <n v="5000"/>
    <n v="2024"/>
    <d v="2454-03-06T00:00:00"/>
    <d v="2024-11-30T00:00:00"/>
    <s v="Nov"/>
    <s v="Q4"/>
  </r>
  <r>
    <s v="1FTEW1E59JKF12352"/>
    <x v="7"/>
    <x v="24"/>
    <s v="SUV"/>
    <s v="Compact SUV"/>
    <s v="Standard"/>
    <x v="14"/>
    <s v="Under $25,000"/>
    <s v="Megan Moore"/>
    <s v="Megan"/>
    <s v="Moore"/>
    <s v="m.moore2@email.com"/>
    <s v="Ford Country"/>
    <s v="Ford Country"/>
    <s v="Midwest"/>
    <s v="Gasoline"/>
    <s v="1.0L"/>
    <s v="White"/>
    <n v="19000"/>
    <n v="2021"/>
    <d v="2454-03-04T00:00:00"/>
    <d v="2024-09-30T00:00:00"/>
    <s v="Sep"/>
    <s v="Q3"/>
  </r>
  <r>
    <s v="WBA8E9G68HNU12352"/>
    <x v="6"/>
    <x v="29"/>
    <s v="Sedan"/>
    <s v="Full-Size Car"/>
    <s v="Luxury_Performance"/>
    <x v="28"/>
    <s v="$60K-$89.9K"/>
    <s v="Autumn Lee"/>
    <s v="Autumn"/>
    <s v="Lee"/>
    <s v="a.lee@gmail.com"/>
    <s v="BMW Elite"/>
    <s v="BMW Elite"/>
    <s v="Northeast"/>
    <s v="Gasoline"/>
    <s v="3.0L"/>
    <s v="White"/>
    <n v="6000"/>
    <n v="2023"/>
    <d v="2454-03-07T00:00:00"/>
    <d v="2024-12-31T00:00:00"/>
    <s v="Dec"/>
    <s v="Q4"/>
  </r>
  <r>
    <s v="5NPE34AF5KH654322"/>
    <x v="3"/>
    <x v="14"/>
    <s v="Sedan"/>
    <s v="Subcompact_Compact Car"/>
    <s v="Standard"/>
    <x v="14"/>
    <s v="Under $25,000"/>
    <s v="Lisa Chen"/>
    <s v="Lisa"/>
    <s v="Chen"/>
    <s v="lisa.chen@outlook.com"/>
    <s v="Hyundai Plus"/>
    <s v="Hyundai Plus"/>
    <s v="West"/>
    <s v="Gasoline"/>
    <s v="2.0L"/>
    <s v="Red"/>
    <n v="12000"/>
    <n v="2022"/>
    <d v="2454-02-25T00:00:00"/>
    <d v="2024-02-29T00:00:00"/>
    <s v="Feb"/>
    <s v="Q1"/>
  </r>
  <r>
    <s v="5YJSA1E26JF123451"/>
    <x v="5"/>
    <x v="16"/>
    <s v="Sedan"/>
    <s v="Full-Size Car"/>
    <s v="Luxury_Performance"/>
    <x v="16"/>
    <s v="$60K-$89.9K"/>
    <s v="Michael Rodriguez"/>
    <s v="Michael"/>
    <s v="Rodriguez"/>
    <s v="mrodriguez@email.com"/>
    <s v="Tesla Direct"/>
    <s v="Tesla Direct"/>
    <s v="West"/>
    <s v="Electric"/>
    <s v="UNKNOWN"/>
    <s v="Red"/>
    <n v="8000"/>
    <n v="2023"/>
    <d v="2454-02-26T00:00:00"/>
    <d v="2024-03-31T00:00:00"/>
    <s v="Mar"/>
    <s v="Q1"/>
  </r>
  <r>
    <s v="1G1ZB5ST6JF123463"/>
    <x v="8"/>
    <x v="23"/>
    <s v="SUV"/>
    <s v="Compact SUV"/>
    <s v="Standard"/>
    <x v="23"/>
    <s v="$25K-$39.9K"/>
    <s v="Zachary White"/>
    <s v="Zachary"/>
    <s v="White"/>
    <s v="z.white@email.com"/>
    <s v="Chevy World"/>
    <s v="Chevy World"/>
    <s v="Midwest"/>
    <s v="Gasoline"/>
    <s v="2.5L"/>
    <s v="Black"/>
    <n v="25000"/>
    <n v="2020"/>
    <d v="2454-03-04T00:00:00"/>
    <d v="2024-09-30T00:00:00"/>
    <s v="Sep"/>
    <s v="Q3"/>
  </r>
  <r>
    <s v="1C4RJFBG3KC123453"/>
    <x v="4"/>
    <x v="15"/>
    <s v="SUV"/>
    <s v="Compact SUV"/>
    <s v="Standard"/>
    <x v="18"/>
    <s v="$40K-$59.9K"/>
    <s v="Elizabeth White"/>
    <s v="Elizabeth"/>
    <s v="White"/>
    <s v="e.white@email.com"/>
    <s v="jeep nation"/>
    <s v="jeep nation"/>
    <s v="South"/>
    <s v="Gasoline"/>
    <s v="3.6L"/>
    <s v="Black"/>
    <n v="29000"/>
    <n v="2020"/>
    <d v="2454-02-26T00:00:00"/>
    <d v="2024-03-31T00:00:00"/>
    <s v="Mar"/>
    <s v="Q1"/>
  </r>
  <r>
    <s v="1C4RJFBG1KC123465"/>
    <x v="4"/>
    <x v="25"/>
    <s v="SUV"/>
    <s v="Compact SUV"/>
    <s v="Standard"/>
    <x v="24"/>
    <s v="$25K-$39.9K"/>
    <s v="Tyler Martin"/>
    <s v="Tyler"/>
    <s v="Martin"/>
    <s v="t.martin@gmail.com"/>
    <s v="jeep nation"/>
    <s v="jeep nation"/>
    <s v="South"/>
    <s v="Gasoline"/>
    <s v="1.3L"/>
    <s v="Silver"/>
    <n v="13000"/>
    <n v="2023"/>
    <d v="2454-03-05T00:00:00"/>
    <d v="2024-10-31T00:00:00"/>
    <s v="Oct"/>
    <s v="Q4"/>
  </r>
  <r>
    <s v="1C4RJFBG3KC123454"/>
    <x v="4"/>
    <x v="15"/>
    <s v="SUV"/>
    <s v="Compact SUV"/>
    <s v="Standard"/>
    <x v="18"/>
    <s v="$40K-$59.9K"/>
    <s v="Elizabeth White"/>
    <s v="Elizabeth"/>
    <s v="White"/>
    <s v="e.white@email.com"/>
    <s v="jeep nation"/>
    <s v="jeep nation"/>
    <s v="South"/>
    <s v="Gasoline"/>
    <s v="3.6L"/>
    <s v="Black"/>
    <n v="29000"/>
    <n v="2020"/>
    <d v="2454-02-26T00:00:00"/>
    <d v="2024-03-31T00:00:00"/>
    <s v="Mar"/>
    <s v="Q1"/>
  </r>
  <r>
    <s v="1C4RJFBG8KC123461"/>
    <x v="4"/>
    <x v="22"/>
    <s v="SUV"/>
    <s v="Compact SUV"/>
    <s v="Standard"/>
    <x v="14"/>
    <s v="Under $25,000"/>
    <s v="Matthew Martin"/>
    <s v="Matthew"/>
    <s v="Martin"/>
    <s v="m.martin@gmail.com"/>
    <s v="jeep nation"/>
    <s v="jeep nation"/>
    <s v="South"/>
    <s v="Gasoline"/>
    <s v="3.7L"/>
    <s v="Silver"/>
    <n v="45000"/>
    <n v="2016"/>
    <d v="2454-03-03T00:00:00"/>
    <d v="2024-08-31T00:00:00"/>
    <s v="Aug"/>
    <s v="Q3"/>
  </r>
  <r>
    <s v="1C4RJFAG8KC321652"/>
    <x v="4"/>
    <x v="15"/>
    <s v="SUV"/>
    <s v="Compact SUV"/>
    <s v="Standard"/>
    <x v="15"/>
    <s v="$25K-$39.9K"/>
    <s v="Amanda Taylor"/>
    <s v="Amanda"/>
    <s v="Taylor"/>
    <s v="a.taylor@gmail.com"/>
    <s v="jeep nation"/>
    <s v="jeep nation"/>
    <s v="South"/>
    <s v="Gasoline"/>
    <s v="3.6L"/>
    <s v="Gray"/>
    <n v="35000"/>
    <n v="2020"/>
    <d v="2454-02-25T00:00:00"/>
    <d v="2024-02-29T00:00:00"/>
    <s v="Feb"/>
    <s v="Q1"/>
  </r>
  <r>
    <s v="WBA8E9G68HNU12353"/>
    <x v="6"/>
    <x v="29"/>
    <s v="Sedan"/>
    <s v="Full-Size Car"/>
    <s v="Luxury_Performance"/>
    <x v="28"/>
    <s v="$60K-$89.9K"/>
    <s v="Autumn Lee"/>
    <s v="Autumn"/>
    <s v="Lee"/>
    <s v="a.lee@gmail.com"/>
    <s v="BMW Elite"/>
    <s v="BMW Elite"/>
    <s v="Northeast"/>
    <s v="Gasoline"/>
    <s v="3.0L"/>
    <s v="White"/>
    <n v="6000"/>
    <n v="2023"/>
    <d v="2454-03-07T00:00:00"/>
    <d v="2024-12-31T00:00:00"/>
    <s v="Dec"/>
    <s v="Q4"/>
  </r>
  <r>
    <s v="WBA8E9G63HNU12351"/>
    <x v="6"/>
    <x v="18"/>
    <s v="Sedan"/>
    <s v="Full-Size Car"/>
    <s v="Luxury_Performance"/>
    <x v="20"/>
    <s v="$60K-$89.9K"/>
    <s v="Keith Wilson"/>
    <s v="Keith"/>
    <s v="Wilson"/>
    <s v="k.wilson@email.com"/>
    <s v="BMW Elite"/>
    <s v="BMW Elite"/>
    <s v="Northeast"/>
    <s v="Gasoline"/>
    <s v="3.0L"/>
    <s v="Gray"/>
    <n v="26000"/>
    <n v="2020"/>
    <d v="2454-03-02T00:00:00"/>
    <d v="2024-07-31T00:00:00"/>
    <s v="Jul"/>
    <s v="Q3"/>
  </r>
  <r>
    <s v="1C4RJFBG8KC123462"/>
    <x v="4"/>
    <x v="22"/>
    <s v="SUV"/>
    <s v="Compact SUV"/>
    <s v="Standard"/>
    <x v="14"/>
    <s v="Under $25,000"/>
    <s v="Matthew Martin"/>
    <s v="Matthew"/>
    <s v="Martin"/>
    <s v="m.martin@gmail.com"/>
    <s v="jeep nation"/>
    <s v="jeep nation"/>
    <s v="South"/>
    <s v="Gasoline"/>
    <s v="3.7L"/>
    <s v="Silver"/>
    <n v="45000"/>
    <n v="2016"/>
    <d v="2454-03-03T00:00:00"/>
    <d v="2024-08-31T00:00:00"/>
    <s v="Aug"/>
    <s v="Q3"/>
  </r>
  <r>
    <s v="1N4AL3AP3JC123473"/>
    <x v="2"/>
    <x v="30"/>
    <s v="Coupe"/>
    <s v="Other"/>
    <s v="Standard"/>
    <x v="29"/>
    <s v="$90K-$129.9K"/>
    <s v="Easton Taylor"/>
    <s v="Easton"/>
    <s v="Taylor"/>
    <s v="e.taylor@gmail.com"/>
    <s v="Nissan Direct"/>
    <s v="Nissan Direct"/>
    <s v="South"/>
    <s v="Gasoline"/>
    <s v="3.8L"/>
    <s v="Black"/>
    <n v="2500"/>
    <n v="2024"/>
    <d v="2454-03-07T00:00:00"/>
    <d v="2024-12-31T00:00:00"/>
    <s v="Dec"/>
    <s v="Q4"/>
  </r>
  <r>
    <s v="1N4AL3AP3JC123474"/>
    <x v="2"/>
    <x v="30"/>
    <s v="Coupe"/>
    <s v="Other"/>
    <s v="Standard"/>
    <x v="29"/>
    <s v="$90K-$129.9K"/>
    <s v="Easton Taylor"/>
    <s v="Easton"/>
    <s v="Taylor"/>
    <s v="e.taylor@gmail.com"/>
    <s v="Nissan Direct"/>
    <s v="Nissan Direct"/>
    <s v="South"/>
    <s v="Gasoline"/>
    <s v="3.8L"/>
    <s v="Black"/>
    <n v="2500"/>
    <n v="2024"/>
    <d v="2454-03-07T00:00:00"/>
    <d v="2024-12-31T00:00:00"/>
    <s v="Dec"/>
    <s v="Q4"/>
  </r>
  <r>
    <s v="1C4RJFBG1KC123466"/>
    <x v="4"/>
    <x v="25"/>
    <s v="SUV"/>
    <s v="Compact SUV"/>
    <s v="Standard"/>
    <x v="24"/>
    <s v="$25K-$39.9K"/>
    <s v="Tyler Martin"/>
    <s v="Tyler"/>
    <s v="Martin"/>
    <s v="t.martin@gmail.com"/>
    <s v="jeep nation"/>
    <s v="jeep nation"/>
    <s v="South"/>
    <s v="Gasoline"/>
    <s v="1.3L"/>
    <s v="Silver"/>
    <n v="13000"/>
    <n v="2023"/>
    <d v="2454-03-05T00:00:00"/>
    <d v="2024-10-31T00:00:00"/>
    <s v="Oct"/>
    <s v="Q4"/>
  </r>
  <r>
    <s v="3N1AB7AP9HY123453"/>
    <x v="2"/>
    <x v="13"/>
    <s v="Sedan"/>
    <s v="Full-Size Car"/>
    <s v="Standard"/>
    <x v="13"/>
    <s v="$25K-$39.9K"/>
    <s v="Mike Davis"/>
    <s v="Mike"/>
    <s v="Davis"/>
    <s v="m.davis@yahoo.com"/>
    <m/>
    <s v="UNKNOWN"/>
    <s v="Northeast"/>
    <s v="Gasoline"/>
    <s v="2.5L"/>
    <s v="Silver"/>
    <n v="22000"/>
    <n v="2020"/>
    <d v="2454-02-25T00:00:00"/>
    <d v="2024-02-29T00:00:00"/>
    <s v="Feb"/>
    <s v="Q1"/>
  </r>
  <r>
    <s v="1FTEW1E59JKF12353"/>
    <x v="7"/>
    <x v="24"/>
    <s v="SUV"/>
    <s v="Compact SUV"/>
    <s v="Standard"/>
    <x v="14"/>
    <s v="Under $25,000"/>
    <s v="Megan Moore"/>
    <s v="Megan"/>
    <s v="Moore"/>
    <s v="m.moore2@email.com"/>
    <s v="Ford Country"/>
    <s v="Ford Country"/>
    <s v="Midwest"/>
    <s v="Gasoline"/>
    <s v="1.0L"/>
    <s v="White"/>
    <n v="19000"/>
    <n v="2021"/>
    <d v="2454-03-04T00:00:00"/>
    <d v="2024-09-30T00:00:00"/>
    <s v="Sep"/>
    <s v="Q3"/>
  </r>
  <r>
    <s v="1N4AL3AP4JC123464"/>
    <x v="2"/>
    <x v="19"/>
    <s v="SUV"/>
    <s v="Compact SUV"/>
    <s v="Standard"/>
    <x v="21"/>
    <s v="$40K-$59.9K"/>
    <s v="Terry Thomas"/>
    <s v="Terry"/>
    <s v="Thomas"/>
    <s v="t.thomas@email.com"/>
    <s v="Nissan Direct"/>
    <s v="Nissan Direct"/>
    <s v="South"/>
    <s v="Gasoline"/>
    <s v="5.6L"/>
    <s v="Blue"/>
    <n v="30000"/>
    <n v="2020"/>
    <d v="2454-03-02T00:00:00"/>
    <d v="2024-07-31T00:00:00"/>
    <s v="Jul"/>
    <s v="Q3"/>
  </r>
  <r>
    <s v="1C4RJFBG3KC123455"/>
    <x v="4"/>
    <x v="15"/>
    <s v="SUV"/>
    <s v="Compact SUV"/>
    <s v="Standard"/>
    <x v="18"/>
    <s v="$40K-$59.9K"/>
    <s v="Elizabeth White"/>
    <s v="Elizabeth"/>
    <s v="White"/>
    <s v="e.white@email.com"/>
    <s v="jeep nation"/>
    <s v="jeep nation"/>
    <s v="South"/>
    <s v="Gasoline"/>
    <s v="3.6L"/>
    <s v="Black"/>
    <n v="29000"/>
    <n v="2020"/>
    <d v="2454-02-26T00:00:00"/>
    <d v="2024-03-31T00:00:00"/>
    <s v="Mar"/>
    <s v="Q1"/>
  </r>
  <r>
    <s v="WBA8E9G59HNU12346"/>
    <x v="0"/>
    <x v="1"/>
    <s v="Hatchback"/>
    <s v="Hybrid"/>
    <s v="Eco-Friendly"/>
    <x v="1"/>
    <s v="$25K-$39.9K"/>
    <s v="Joseph Thompson"/>
    <s v="Joseph"/>
    <s v="Thompson"/>
    <s v="j.thompson@email.com"/>
    <s v="BMW Elite"/>
    <s v="BMW Elite"/>
    <s v="Northeast"/>
    <s v="Gasoline"/>
    <s v="3.0L"/>
    <s v="Gray"/>
    <n v="32000"/>
    <n v="2020"/>
    <d v="2454-02-27T00:00:00"/>
    <d v="2024-04-30T00:00:00"/>
    <s v="Apr"/>
    <s v="Q2"/>
  </r>
  <r>
    <s v="5YJSA1E27JF123457"/>
    <x v="0"/>
    <x v="1"/>
    <s v="Hatchback"/>
    <s v="Hybrid"/>
    <s v="Eco-Friendly"/>
    <x v="1"/>
    <s v="$25K-$39.9K"/>
    <s v="Nancy Garcia"/>
    <s v="Nancy"/>
    <s v="Garcia"/>
    <s v="n.garcia@email.com"/>
    <s v="Tesla Direct"/>
    <s v="Tesla Direct"/>
    <s v="West"/>
    <s v="Electric"/>
    <s v="UNKNOWN"/>
    <s v="White"/>
    <n v="12000"/>
    <n v="2023"/>
    <d v="2454-02-27T00:00:00"/>
    <d v="2024-04-30T00:00:00"/>
    <s v="Apr"/>
    <s v="Q2"/>
  </r>
  <r>
    <s v="4T1BF1FK9EU123457"/>
    <x v="0"/>
    <x v="1"/>
    <s v="Sedan"/>
    <s v="Full-Size Car"/>
    <s v="Standard"/>
    <x v="30"/>
    <s v="$25K-$39.9K"/>
    <s v="Linda Wilson"/>
    <s v="Linda"/>
    <s v="Wilson"/>
    <s v="l.wilson@email.com"/>
    <s v="Toyota Center"/>
    <s v="Toyota Center"/>
    <s v="West"/>
    <s v="Hybrid"/>
    <s v="1.8L"/>
    <s v="Blue"/>
    <n v="9000"/>
    <n v="2023"/>
    <d v="2454-02-27T00:00:00"/>
    <d v="2024-04-30T00:00:00"/>
    <s v="Apr"/>
    <s v="Q2"/>
  </r>
  <r>
    <s v="1G1ZB5ST9JF123457"/>
    <x v="0"/>
    <x v="1"/>
    <s v="Hatchback"/>
    <s v="Hybrid"/>
    <s v="Eco-Friendly"/>
    <x v="1"/>
    <s v="$25K-$39.9K"/>
    <s v="Helen Jackson"/>
    <s v="Helen"/>
    <s v="Jackson"/>
    <s v="h.jackson@gmail.com"/>
    <s v="Chevy World"/>
    <s v="Chevy World"/>
    <s v="Midwest"/>
    <s v="Gasoline"/>
    <s v="1.5L"/>
    <s v="White"/>
    <n v="20000"/>
    <n v="2022"/>
    <d v="2454-02-27T00:00:00"/>
    <d v="2024-04-30T00:00:00"/>
    <s v="Apr"/>
    <s v="Q2"/>
  </r>
  <r>
    <s v="WBA8E9G60HNU12347"/>
    <x v="0"/>
    <x v="1"/>
    <s v="Hatchback"/>
    <s v="Hybrid"/>
    <s v="Eco-Friendly"/>
    <x v="1"/>
    <s v="$25K-$39.9K"/>
    <s v="Edward White"/>
    <s v="Edward"/>
    <s v="White"/>
    <s v="e.white@email.com"/>
    <s v="BMW Elite"/>
    <s v="BMW Elite"/>
    <s v="Northeast"/>
    <s v="Gasoline"/>
    <s v="2.0L"/>
    <s v="Black"/>
    <n v="28000"/>
    <n v="2020"/>
    <d v="2454-02-28T00:00:00"/>
    <d v="2024-05-31T00:00:00"/>
    <s v="May"/>
    <s v="Q2"/>
  </r>
  <r>
    <s v="4T1BF1FK0EU123458"/>
    <x v="0"/>
    <x v="5"/>
    <s v="SUV"/>
    <s v="Mid_Full-Size SUV"/>
    <s v="Standard"/>
    <x v="10"/>
    <s v="$25K-$39.9K"/>
    <s v="Ruth Thompson"/>
    <s v="Ruth"/>
    <s v="Thompson"/>
    <s v="r.thompson@email.com"/>
    <s v="Toyota Center"/>
    <s v="Toyota Center"/>
    <s v="West"/>
    <s v="Gasoline"/>
    <s v="2.5L"/>
    <s v="Silver"/>
    <n v="11000"/>
    <n v="2023"/>
    <d v="2454-02-28T00:00:00"/>
    <d v="2024-05-31T00:00:00"/>
    <s v="May"/>
    <s v="Q2"/>
  </r>
  <r>
    <s v="1N4AL3AP0JC123458"/>
    <x v="0"/>
    <x v="1"/>
    <s v="Hatchback"/>
    <s v="Hybrid"/>
    <s v="Eco-Friendly"/>
    <x v="1"/>
    <s v="$25K-$39.9K"/>
    <s v="Joe Garcia"/>
    <s v="Joe"/>
    <s v="Garcia"/>
    <s v="j.garcia@email.com"/>
    <s v="Nissan Direct"/>
    <s v="Nissan Direct"/>
    <s v="South"/>
    <s v="Gasoline"/>
    <s v="2.5L"/>
    <s v="Blue"/>
    <n v="24000"/>
    <n v="2021"/>
    <d v="2454-02-28T00:00:00"/>
    <d v="2024-05-31T00:00:00"/>
    <s v="May"/>
    <s v="Q2"/>
  </r>
  <r>
    <s v="WBA8E9G61HNU12348"/>
    <x v="0"/>
    <x v="5"/>
    <s v="SUV"/>
    <s v="Mid_Full-Size SUV"/>
    <s v="Standard"/>
    <x v="6"/>
    <s v="$25K-$39.9K"/>
    <s v="Gloria Anderson"/>
    <s v="Gloria"/>
    <s v="Anderson"/>
    <s v="g.anderson@email.com"/>
    <s v="BMW Elite"/>
    <s v="BMW Elite"/>
    <s v="Northeast"/>
    <s v="Gasoline"/>
    <s v="2.0L"/>
    <s v="Silver"/>
    <n v="21000"/>
    <n v="2021"/>
    <d v="2454-02-28T00:00:00"/>
    <d v="2024-05-31T00:00:00"/>
    <s v="May"/>
    <s v="Q2"/>
  </r>
  <r>
    <s v="4T1BF1FK1EU123459"/>
    <x v="0"/>
    <x v="6"/>
    <s v="SUV"/>
    <s v="Compact SUV"/>
    <s v="Standard"/>
    <x v="31"/>
    <s v="$40K-$59.9K"/>
    <s v="Ralph White"/>
    <s v="Ralph"/>
    <s v="White"/>
    <s v="r.white@email.com"/>
    <s v="Toyota Center"/>
    <s v="Toyota Center"/>
    <s v="West"/>
    <s v="Gasoline"/>
    <s v="3.5L"/>
    <s v="Gray"/>
    <n v="18000"/>
    <n v="2022"/>
    <d v="2454-03-01T00:00:00"/>
    <d v="2024-06-30T00:00:00"/>
    <s v="Jun"/>
    <s v="Q2"/>
  </r>
  <r>
    <s v="1C4RJFBG6KC123459"/>
    <x v="0"/>
    <x v="6"/>
    <s v="SUV"/>
    <s v="Mid_Full-Size SUV"/>
    <s v="Luxury_Performance"/>
    <x v="7"/>
    <s v="$40K-$59.9K"/>
    <s v="Kathryn Thompson"/>
    <s v="Kathryn"/>
    <s v="Thompson"/>
    <s v="k.thompson@email.com"/>
    <s v="jeep nation"/>
    <s v="jeep nation"/>
    <s v="South"/>
    <s v="Gasoline"/>
    <s v="2.4L"/>
    <s v="Silver"/>
    <n v="20000"/>
    <n v="2021"/>
    <d v="2454-03-01T00:00:00"/>
    <d v="2024-06-30T00:00:00"/>
    <s v="Jun"/>
    <s v="Q2"/>
  </r>
  <r>
    <s v="WBA8E9G62HNU12349"/>
    <x v="0"/>
    <x v="5"/>
    <s v="SUV"/>
    <s v="Mid_Full-Size SUV"/>
    <s v="Standard"/>
    <x v="6"/>
    <s v="$25K-$39.9K"/>
    <s v="Harold Wilson"/>
    <s v="Harold"/>
    <s v="Wilson"/>
    <s v="h.wilson@email.com"/>
    <s v="BMW Elite"/>
    <s v="BMW Elite"/>
    <s v="Northeast"/>
    <s v="Gasoline"/>
    <s v="2.0L"/>
    <s v="Black"/>
    <n v="15000"/>
    <n v="2022"/>
    <d v="2454-03-01T00:00:00"/>
    <d v="2024-06-30T00:00:00"/>
    <s v="Jun"/>
    <s v="Q2"/>
  </r>
  <r>
    <s v="4T1BF1FK2EU123460"/>
    <x v="0"/>
    <x v="31"/>
    <s v="Truck"/>
    <s v="Pickup Truck"/>
    <s v="Standard"/>
    <x v="32"/>
    <s v="$25K-$39.9K"/>
    <s v="Roy Taylor"/>
    <s v="Roy"/>
    <s v="Taylor"/>
    <s v="r.taylor@email.com"/>
    <s v="Toyota Center"/>
    <s v="Toyota Center"/>
    <s v="West"/>
    <s v="Gasoline"/>
    <s v="2.7L"/>
    <s v="Gray"/>
    <n v="21000"/>
    <n v="2020"/>
    <d v="2454-03-01T00:00:00"/>
    <d v="2024-06-30T00:00:00"/>
    <s v="Jun"/>
    <s v="Q2"/>
  </r>
  <r>
    <s v="5YJSA1E30JF123462"/>
    <x v="0"/>
    <x v="6"/>
    <s v="SUV"/>
    <s v="Mid_Full-Size SUV"/>
    <s v="Luxury_Performance"/>
    <x v="7"/>
    <s v="$40K-$59.9K"/>
    <s v="Eugene White"/>
    <s v="Eugene"/>
    <s v="White"/>
    <s v="e.white2@email.com"/>
    <s v="Tesla Direct"/>
    <s v="Tesla Direct"/>
    <s v="West"/>
    <s v="Electric"/>
    <s v="UNKNOWN"/>
    <s v="Silver"/>
    <n v="1000"/>
    <n v="2024"/>
    <d v="2454-03-01T00:00:00"/>
    <d v="2024-06-30T00:00:00"/>
    <s v="Jun"/>
    <s v="Q2"/>
  </r>
  <r>
    <s v="1HGCV1F37JA123457"/>
    <x v="1"/>
    <x v="32"/>
    <s v="Sedan"/>
    <s v="Full-Size Car"/>
    <s v="Standard"/>
    <x v="27"/>
    <s v="$25K-$39.9K"/>
    <s v="Kenneth Lee"/>
    <s v="Kenneth"/>
    <s v="Lee"/>
    <s v="k.lee@gmail.com"/>
    <s v="metro honda"/>
    <s v="metro honda"/>
    <s v="Northeast"/>
    <s v="Gasoline"/>
    <s v="1.5L"/>
    <s v="Black"/>
    <n v="22000"/>
    <n v="2021"/>
    <d v="2454-02-27T00:00:00"/>
    <d v="2024-04-30T00:00:00"/>
    <s v="Apr"/>
    <s v="Q2"/>
  </r>
  <r>
    <s v="5YJSA1E28JF123458"/>
    <x v="5"/>
    <x v="33"/>
    <s v="SUV"/>
    <s v="Compact SUV"/>
    <s v="Luxury_Performance"/>
    <x v="33"/>
    <s v="$40K-$59.9K"/>
    <s v="Donna Harris"/>
    <s v="Donna"/>
    <s v="Harris"/>
    <s v="d.harris@email.com"/>
    <s v="Tesla Direct"/>
    <s v="Tesla Direct"/>
    <s v="West"/>
    <s v="Electric"/>
    <s v="UNKNOWN"/>
    <s v="Gray"/>
    <n v="6000"/>
    <n v="2024"/>
    <d v="2454-02-28T00:00:00"/>
    <d v="2024-05-31T00:00:00"/>
    <s v="May"/>
    <s v="Q2"/>
  </r>
  <r>
    <s v="WBA8E9G59HNU12341"/>
    <x v="0"/>
    <x v="1"/>
    <s v="Hatchback"/>
    <s v="Hybrid"/>
    <s v="Eco-Friendly"/>
    <x v="1"/>
    <s v="$25K-$39.9K"/>
    <s v="Joseph Thompson"/>
    <s v="Joseph"/>
    <s v="Thompson"/>
    <s v="j.thompson@email.com"/>
    <s v="BMW Elite"/>
    <s v="BMW Elite"/>
    <s v="Northeast"/>
    <s v="Gasoline"/>
    <s v="3.0L"/>
    <s v="Gray"/>
    <n v="32000"/>
    <n v="2020"/>
    <d v="2454-02-27T00:00:00"/>
    <d v="2024-04-30T00:00:00"/>
    <s v="Apr"/>
    <s v="Q2"/>
  </r>
  <r>
    <s v="5YJSA1E27JF123451"/>
    <x v="0"/>
    <x v="1"/>
    <s v="Hatchback"/>
    <s v="Hybrid"/>
    <s v="Eco-Friendly"/>
    <x v="1"/>
    <s v="$25K-$39.9K"/>
    <s v="Nancy Garcia"/>
    <s v="Nancy"/>
    <s v="Garcia"/>
    <s v="n.garcia@email.com"/>
    <s v="Tesla Direct"/>
    <s v="Tesla Direct"/>
    <s v="West"/>
    <s v="Electric"/>
    <s v="UNKNOWN"/>
    <s v="White"/>
    <n v="12000"/>
    <n v="2023"/>
    <d v="2454-02-27T00:00:00"/>
    <d v="2024-04-30T00:00:00"/>
    <s v="Apr"/>
    <s v="Q2"/>
  </r>
  <r>
    <s v="4T1BF1FK9EU123451"/>
    <x v="0"/>
    <x v="1"/>
    <s v="Sedan"/>
    <s v="Full-Size Car"/>
    <s v="Standard"/>
    <x v="30"/>
    <s v="$25K-$39.9K"/>
    <s v="Linda Wilson"/>
    <s v="Linda"/>
    <s v="Wilson"/>
    <s v="l.wilson@email.com"/>
    <s v="Toyota Center"/>
    <s v="Toyota Center"/>
    <s v="West"/>
    <s v="Hybrid"/>
    <s v="1.8L"/>
    <s v="Blue"/>
    <n v="9000"/>
    <n v="2023"/>
    <d v="2454-02-27T00:00:00"/>
    <d v="2024-04-30T00:00:00"/>
    <s v="Apr"/>
    <s v="Q2"/>
  </r>
  <r>
    <s v="1G1ZB5ST9JF123451"/>
    <x v="0"/>
    <x v="1"/>
    <s v="Hatchback"/>
    <s v="Hybrid"/>
    <s v="Eco-Friendly"/>
    <x v="1"/>
    <s v="$25K-$39.9K"/>
    <s v="Helen Jackson"/>
    <s v="Helen"/>
    <s v="Jackson"/>
    <s v="h.jackson@gmail.com"/>
    <s v="Chevy World"/>
    <s v="Chevy World"/>
    <s v="Midwest"/>
    <s v="Gasoline"/>
    <s v="1.5L"/>
    <s v="White"/>
    <n v="20000"/>
    <n v="2022"/>
    <d v="2454-02-27T00:00:00"/>
    <d v="2024-04-30T00:00:00"/>
    <s v="Apr"/>
    <s v="Q2"/>
  </r>
  <r>
    <s v="WBA8E9G60HNU12341"/>
    <x v="0"/>
    <x v="1"/>
    <s v="Hatchback"/>
    <s v="Hybrid"/>
    <s v="Eco-Friendly"/>
    <x v="1"/>
    <s v="$25K-$39.9K"/>
    <s v="Edward White"/>
    <s v="Edward"/>
    <s v="White"/>
    <s v="e.white@email.com"/>
    <s v="BMW Elite"/>
    <s v="BMW Elite"/>
    <s v="Northeast"/>
    <s v="Gasoline"/>
    <s v="2.0L"/>
    <s v="Black"/>
    <n v="28000"/>
    <n v="2020"/>
    <d v="2454-02-28T00:00:00"/>
    <d v="2024-05-31T00:00:00"/>
    <s v="May"/>
    <s v="Q2"/>
  </r>
  <r>
    <s v="4T1BF1FK0EU123451"/>
    <x v="0"/>
    <x v="5"/>
    <s v="SUV"/>
    <s v="Mid_Full-Size SUV"/>
    <s v="Standard"/>
    <x v="10"/>
    <s v="$25K-$39.9K"/>
    <s v="Ruth Thompson"/>
    <s v="Ruth"/>
    <s v="Thompson"/>
    <s v="r.thompson@email.com"/>
    <s v="Toyota Center"/>
    <s v="Toyota Center"/>
    <s v="West"/>
    <s v="Gasoline"/>
    <s v="2.5L"/>
    <s v="Silver"/>
    <n v="11000"/>
    <n v="2023"/>
    <d v="2454-02-28T00:00:00"/>
    <d v="2024-05-31T00:00:00"/>
    <s v="May"/>
    <s v="Q2"/>
  </r>
  <r>
    <s v="1N4AL3AP0JC123451"/>
    <x v="0"/>
    <x v="1"/>
    <s v="Hatchback"/>
    <s v="Hybrid"/>
    <s v="Eco-Friendly"/>
    <x v="1"/>
    <s v="$25K-$39.9K"/>
    <s v="Joe Garcia"/>
    <s v="Joe"/>
    <s v="Garcia"/>
    <s v="j.garcia@email.com"/>
    <s v="Nissan Direct"/>
    <s v="Nissan Direct"/>
    <s v="South"/>
    <s v="Gasoline"/>
    <s v="2.5L"/>
    <s v="Blue"/>
    <n v="24000"/>
    <n v="2021"/>
    <d v="2454-02-28T00:00:00"/>
    <d v="2024-05-31T00:00:00"/>
    <s v="May"/>
    <s v="Q2"/>
  </r>
  <r>
    <s v="WBA8E9G61HNU12341"/>
    <x v="0"/>
    <x v="5"/>
    <s v="SUV"/>
    <s v="Mid_Full-Size SUV"/>
    <s v="Standard"/>
    <x v="6"/>
    <s v="$25K-$39.9K"/>
    <s v="Gloria Anderson"/>
    <s v="Gloria"/>
    <s v="Anderson"/>
    <s v="g.anderson@email.com"/>
    <s v="BMW Elite"/>
    <s v="BMW Elite"/>
    <s v="Northeast"/>
    <s v="Gasoline"/>
    <s v="2.0L"/>
    <s v="Silver"/>
    <n v="21000"/>
    <n v="2021"/>
    <d v="2454-02-28T00:00:00"/>
    <d v="2024-05-31T00:00:00"/>
    <s v="May"/>
    <s v="Q2"/>
  </r>
  <r>
    <s v="4T1BF1FK1EU123451"/>
    <x v="0"/>
    <x v="6"/>
    <s v="SUV"/>
    <s v="Compact SUV"/>
    <s v="Standard"/>
    <x v="31"/>
    <s v="$40K-$59.9K"/>
    <s v="Ralph White"/>
    <s v="Ralph"/>
    <s v="White"/>
    <s v="r.white@email.com"/>
    <s v="Toyota Center"/>
    <s v="Toyota Center"/>
    <s v="West"/>
    <s v="Gasoline"/>
    <s v="3.5L"/>
    <s v="Gray"/>
    <n v="18000"/>
    <n v="2022"/>
    <d v="2454-03-01T00:00:00"/>
    <d v="2024-06-30T00:00:00"/>
    <s v="Jun"/>
    <s v="Q2"/>
  </r>
  <r>
    <s v="1C4RJFBG6KC123451"/>
    <x v="0"/>
    <x v="6"/>
    <s v="SUV"/>
    <s v="Mid_Full-Size SUV"/>
    <s v="Luxury_Performance"/>
    <x v="7"/>
    <s v="$40K-$59.9K"/>
    <s v="Kathryn Thompson"/>
    <s v="Kathryn"/>
    <s v="Thompson"/>
    <s v="k.thompson@email.com"/>
    <s v="jeep nation"/>
    <s v="jeep nation"/>
    <s v="South"/>
    <s v="Gasoline"/>
    <s v="2.4L"/>
    <s v="Silver"/>
    <n v="20000"/>
    <n v="2021"/>
    <d v="2454-03-01T00:00:00"/>
    <d v="2024-06-30T00:00:00"/>
    <s v="Jun"/>
    <s v="Q2"/>
  </r>
  <r>
    <s v="WBA8E9G62HNU12341"/>
    <x v="0"/>
    <x v="5"/>
    <s v="SUV"/>
    <s v="Mid_Full-Size SUV"/>
    <s v="Standard"/>
    <x v="6"/>
    <s v="$25K-$39.9K"/>
    <s v="Harold Wilson"/>
    <s v="Harold"/>
    <s v="Wilson"/>
    <s v="h.wilson@email.com"/>
    <s v="BMW Elite"/>
    <s v="BMW Elite"/>
    <s v="Northeast"/>
    <s v="Gasoline"/>
    <s v="2.0L"/>
    <s v="Black"/>
    <n v="15000"/>
    <n v="2022"/>
    <d v="2454-03-01T00:00:00"/>
    <d v="2024-06-30T00:00:00"/>
    <s v="Jun"/>
    <s v="Q2"/>
  </r>
  <r>
    <s v="4T1BF1FK2EU123461"/>
    <x v="0"/>
    <x v="31"/>
    <s v="Truck"/>
    <s v="Pickup Truck"/>
    <s v="Standard"/>
    <x v="32"/>
    <s v="$25K-$39.9K"/>
    <s v="Roy Taylor"/>
    <s v="Roy"/>
    <s v="Taylor"/>
    <s v="r.taylor@email.com"/>
    <s v="Toyota Center"/>
    <s v="Toyota Center"/>
    <s v="West"/>
    <s v="Gasoline"/>
    <s v="2.7L"/>
    <s v="Gray"/>
    <n v="21000"/>
    <n v="2020"/>
    <d v="2454-03-01T00:00:00"/>
    <d v="2024-06-30T00:00:00"/>
    <s v="Jun"/>
    <s v="Q2"/>
  </r>
  <r>
    <s v="5YJSA1E30JF123461"/>
    <x v="0"/>
    <x v="6"/>
    <s v="SUV"/>
    <s v="Mid_Full-Size SUV"/>
    <s v="Luxury_Performance"/>
    <x v="7"/>
    <s v="$40K-$59.9K"/>
    <s v="Eugene White"/>
    <s v="Eugene"/>
    <s v="White"/>
    <s v="e.white2@email.com"/>
    <s v="Tesla Direct"/>
    <s v="Tesla Direct"/>
    <s v="West"/>
    <s v="Electric"/>
    <s v="UNKNOWN"/>
    <s v="Silver"/>
    <n v="1000"/>
    <n v="2024"/>
    <d v="2454-03-01T00:00:00"/>
    <d v="2024-06-30T00:00:00"/>
    <s v="Jun"/>
    <s v="Q2"/>
  </r>
  <r>
    <s v="1HGCV1F37JA123451"/>
    <x v="1"/>
    <x v="32"/>
    <s v="Sedan"/>
    <s v="Full-Size Car"/>
    <s v="Standard"/>
    <x v="27"/>
    <s v="$25K-$39.9K"/>
    <s v="Kenneth Lee"/>
    <s v="Kenneth"/>
    <s v="Lee"/>
    <s v="k.lee@gmail.com"/>
    <s v="metro honda"/>
    <s v="metro honda"/>
    <s v="Northeast"/>
    <s v="Gasoline"/>
    <s v="1.5L"/>
    <s v="Black"/>
    <n v="22000"/>
    <n v="2021"/>
    <d v="2454-02-27T00:00:00"/>
    <d v="2024-04-30T00:00:00"/>
    <s v="Apr"/>
    <s v="Q2"/>
  </r>
  <r>
    <s v="5YJSA1E28JF123451"/>
    <x v="5"/>
    <x v="33"/>
    <s v="SUV"/>
    <s v="Compact SUV"/>
    <s v="Luxury_Performance"/>
    <x v="33"/>
    <s v="$40K-$59.9K"/>
    <s v="Donna Harris"/>
    <s v="Donna"/>
    <s v="Harris"/>
    <s v="d.harris@email.com"/>
    <s v="Tesla Direct"/>
    <s v="Tesla Direct"/>
    <s v="West"/>
    <s v="Electric"/>
    <s v="UNKNOWN"/>
    <s v="Gray"/>
    <n v="6000"/>
    <n v="2024"/>
    <d v="2454-02-28T00:00:00"/>
    <d v="2024-05-31T00:00:00"/>
    <s v="May"/>
    <s v="Q2"/>
  </r>
  <r>
    <s v="WBA8E9G59HNU12342"/>
    <x v="0"/>
    <x v="1"/>
    <s v="Hatchback"/>
    <s v="Hybrid"/>
    <s v="Eco-Friendly"/>
    <x v="1"/>
    <s v="$25K-$39.9K"/>
    <s v="Joseph Thompson"/>
    <s v="Joseph"/>
    <s v="Thompson"/>
    <s v="j.thompson@email.com"/>
    <s v="BMW Elite"/>
    <s v="BMW Elite"/>
    <s v="Northeast"/>
    <s v="Gasoline"/>
    <s v="3.0L"/>
    <s v="Gray"/>
    <n v="32000"/>
    <n v="2020"/>
    <d v="2454-02-27T00:00:00"/>
    <d v="2024-04-30T00:00:00"/>
    <s v="Apr"/>
    <s v="Q2"/>
  </r>
  <r>
    <s v="5YJSA1E27JF123452"/>
    <x v="0"/>
    <x v="1"/>
    <s v="Hatchback"/>
    <s v="Hybrid"/>
    <s v="Eco-Friendly"/>
    <x v="1"/>
    <s v="$25K-$39.9K"/>
    <s v="Nancy Garcia"/>
    <s v="Nancy"/>
    <s v="Garcia"/>
    <s v="n.garcia@email.com"/>
    <s v="Tesla Direct"/>
    <s v="Tesla Direct"/>
    <s v="West"/>
    <s v="Electric"/>
    <s v="UNKNOWN"/>
    <s v="White"/>
    <n v="12000"/>
    <n v="2023"/>
    <d v="2454-02-27T00:00:00"/>
    <d v="2024-04-30T00:00:00"/>
    <s v="Apr"/>
    <s v="Q2"/>
  </r>
  <r>
    <s v="4T1BF1FK9EU123452"/>
    <x v="0"/>
    <x v="1"/>
    <s v="Sedan"/>
    <s v="Full-Size Car"/>
    <s v="Standard"/>
    <x v="30"/>
    <s v="$25K-$39.9K"/>
    <s v="Linda Wilson"/>
    <s v="Linda"/>
    <s v="Wilson"/>
    <s v="l.wilson@email.com"/>
    <s v="Toyota Center"/>
    <s v="Toyota Center"/>
    <s v="West"/>
    <s v="Hybrid"/>
    <s v="1.8L"/>
    <s v="Blue"/>
    <n v="9000"/>
    <n v="2023"/>
    <d v="2454-02-27T00:00:00"/>
    <d v="2024-04-30T00:00:00"/>
    <s v="Apr"/>
    <s v="Q2"/>
  </r>
  <r>
    <s v="1G1ZB5ST9JF123452"/>
    <x v="0"/>
    <x v="1"/>
    <s v="Hatchback"/>
    <s v="Hybrid"/>
    <s v="Eco-Friendly"/>
    <x v="1"/>
    <s v="$25K-$39.9K"/>
    <s v="Helen Jackson"/>
    <s v="Helen"/>
    <s v="Jackson"/>
    <s v="h.jackson@gmail.com"/>
    <s v="Chevy World"/>
    <s v="Chevy World"/>
    <s v="Midwest"/>
    <s v="Gasoline"/>
    <s v="1.5L"/>
    <s v="White"/>
    <n v="20000"/>
    <n v="2022"/>
    <d v="2454-02-27T00:00:00"/>
    <d v="2024-04-30T00:00:00"/>
    <s v="Apr"/>
    <s v="Q2"/>
  </r>
  <r>
    <s v="WBA8E9G60HNU12342"/>
    <x v="0"/>
    <x v="1"/>
    <s v="Hatchback"/>
    <s v="Hybrid"/>
    <s v="Eco-Friendly"/>
    <x v="1"/>
    <s v="$25K-$39.9K"/>
    <s v="Edward White"/>
    <s v="Edward"/>
    <s v="White"/>
    <s v="e.white@email.com"/>
    <s v="BMW Elite"/>
    <s v="BMW Elite"/>
    <s v="Northeast"/>
    <s v="Gasoline"/>
    <s v="2.0L"/>
    <s v="Black"/>
    <n v="28000"/>
    <n v="2020"/>
    <d v="2454-02-28T00:00:00"/>
    <d v="2024-05-31T00:00:00"/>
    <s v="May"/>
    <s v="Q2"/>
  </r>
  <r>
    <s v="4T1BF1FK0EU123452"/>
    <x v="0"/>
    <x v="5"/>
    <s v="SUV"/>
    <s v="Mid_Full-Size SUV"/>
    <s v="Standard"/>
    <x v="10"/>
    <s v="$25K-$39.9K"/>
    <s v="Ruth Thompson"/>
    <s v="Ruth"/>
    <s v="Thompson"/>
    <s v="r.thompson@email.com"/>
    <s v="Toyota Center"/>
    <s v="Toyota Center"/>
    <s v="West"/>
    <s v="Gasoline"/>
    <s v="2.5L"/>
    <s v="Silver"/>
    <n v="11000"/>
    <n v="2023"/>
    <d v="2454-02-28T00:00:00"/>
    <d v="2024-05-31T00:00:00"/>
    <s v="May"/>
    <s v="Q2"/>
  </r>
  <r>
    <s v="1N4AL3AP0JC123452"/>
    <x v="0"/>
    <x v="1"/>
    <s v="Hatchback"/>
    <s v="Hybrid"/>
    <s v="Eco-Friendly"/>
    <x v="1"/>
    <s v="$25K-$39.9K"/>
    <s v="Joe Garcia"/>
    <s v="Joe"/>
    <s v="Garcia"/>
    <s v="j.garcia@email.com"/>
    <s v="Nissan Direct"/>
    <s v="Nissan Direct"/>
    <s v="South"/>
    <s v="Gasoline"/>
    <s v="2.5L"/>
    <s v="Blue"/>
    <n v="24000"/>
    <n v="2021"/>
    <d v="2454-02-28T00:00:00"/>
    <d v="2024-05-31T00:00:00"/>
    <s v="May"/>
    <s v="Q2"/>
  </r>
  <r>
    <s v="WBA8E9G61HNU12342"/>
    <x v="0"/>
    <x v="5"/>
    <s v="SUV"/>
    <s v="Mid_Full-Size SUV"/>
    <s v="Standard"/>
    <x v="6"/>
    <s v="$25K-$39.9K"/>
    <s v="Gloria Anderson"/>
    <s v="Gloria"/>
    <s v="Anderson"/>
    <s v="g.anderson@email.com"/>
    <s v="BMW Elite"/>
    <s v="BMW Elite"/>
    <s v="Northeast"/>
    <s v="Gasoline"/>
    <s v="2.0L"/>
    <s v="Silver"/>
    <n v="21000"/>
    <n v="2021"/>
    <d v="2454-02-28T00:00:00"/>
    <d v="2024-05-31T00:00:00"/>
    <s v="May"/>
    <s v="Q2"/>
  </r>
  <r>
    <s v="4T1BF1FK1EU123452"/>
    <x v="0"/>
    <x v="6"/>
    <s v="SUV"/>
    <s v="Compact SUV"/>
    <s v="Standard"/>
    <x v="31"/>
    <s v="$40K-$59.9K"/>
    <s v="Ralph White"/>
    <s v="Ralph"/>
    <s v="White"/>
    <s v="r.white@email.com"/>
    <s v="Toyota Center"/>
    <s v="Toyota Center"/>
    <s v="West"/>
    <s v="Gasoline"/>
    <s v="3.5L"/>
    <s v="Gray"/>
    <n v="18000"/>
    <n v="2022"/>
    <d v="2454-03-01T00:00:00"/>
    <d v="2024-06-30T00:00:00"/>
    <s v="Jun"/>
    <s v="Q2"/>
  </r>
  <r>
    <s v="1C4RJFBG6KC123452"/>
    <x v="0"/>
    <x v="6"/>
    <s v="SUV"/>
    <s v="Mid_Full-Size SUV"/>
    <s v="Luxury_Performance"/>
    <x v="7"/>
    <s v="$40K-$59.9K"/>
    <s v="Kathryn Thompson"/>
    <s v="Kathryn"/>
    <s v="Thompson"/>
    <s v="k.thompson@email.com"/>
    <s v="jeep nation"/>
    <s v="jeep nation"/>
    <s v="South"/>
    <s v="Gasoline"/>
    <s v="2.4L"/>
    <s v="Silver"/>
    <n v="20000"/>
    <n v="2021"/>
    <d v="2454-03-01T00:00:00"/>
    <d v="2024-06-30T00:00:00"/>
    <s v="Jun"/>
    <s v="Q2"/>
  </r>
  <r>
    <s v="WBA8E9G62HNU12342"/>
    <x v="0"/>
    <x v="5"/>
    <s v="SUV"/>
    <s v="Mid_Full-Size SUV"/>
    <s v="Standard"/>
    <x v="6"/>
    <s v="$25K-$39.9K"/>
    <s v="Harold Wilson"/>
    <s v="Harold"/>
    <s v="Wilson"/>
    <s v="h.wilson@email.com"/>
    <s v="BMW Elite"/>
    <s v="BMW Elite"/>
    <s v="Northeast"/>
    <s v="Gasoline"/>
    <s v="2.0L"/>
    <s v="Black"/>
    <n v="15000"/>
    <n v="2022"/>
    <d v="2454-03-01T00:00:00"/>
    <d v="2024-06-30T00:00:00"/>
    <s v="Jun"/>
    <s v="Q2"/>
  </r>
  <r>
    <s v="4T1BF1FK2EU123462"/>
    <x v="0"/>
    <x v="31"/>
    <s v="Truck"/>
    <s v="Pickup Truck"/>
    <s v="Standard"/>
    <x v="32"/>
    <s v="$25K-$39.9K"/>
    <s v="Roy Taylor"/>
    <s v="Roy"/>
    <s v="Taylor"/>
    <s v="r.taylor@email.com"/>
    <s v="Toyota Center"/>
    <s v="Toyota Center"/>
    <s v="West"/>
    <s v="Gasoline"/>
    <s v="2.7L"/>
    <s v="Gray"/>
    <n v="21000"/>
    <n v="2020"/>
    <d v="2454-03-01T00:00:00"/>
    <d v="2024-06-30T00:00:00"/>
    <s v="Jun"/>
    <s v="Q2"/>
  </r>
  <r>
    <s v="5YJSA1E30JF123463"/>
    <x v="0"/>
    <x v="6"/>
    <s v="SUV"/>
    <s v="Mid_Full-Size SUV"/>
    <s v="Luxury_Performance"/>
    <x v="7"/>
    <s v="$40K-$59.9K"/>
    <s v="Eugene White"/>
    <s v="Eugene"/>
    <s v="White"/>
    <s v="e.white2@email.com"/>
    <s v="Tesla Direct"/>
    <s v="Tesla Direct"/>
    <s v="West"/>
    <s v="Electric"/>
    <s v="UNKNOWN"/>
    <s v="Silver"/>
    <n v="1000"/>
    <n v="2024"/>
    <d v="2454-03-01T00:00:00"/>
    <d v="2024-06-30T00:00:00"/>
    <s v="Jun"/>
    <s v="Q2"/>
  </r>
  <r>
    <s v="1HGCV1F37JA123452"/>
    <x v="1"/>
    <x v="32"/>
    <s v="Sedan"/>
    <s v="Full-Size Car"/>
    <s v="Standard"/>
    <x v="27"/>
    <s v="$25K-$39.9K"/>
    <s v="Kenneth Lee"/>
    <s v="Kenneth"/>
    <s v="Lee"/>
    <s v="k.lee@gmail.com"/>
    <s v="metro honda"/>
    <s v="metro honda"/>
    <s v="Northeast"/>
    <s v="Gasoline"/>
    <s v="1.5L"/>
    <s v="Black"/>
    <n v="22000"/>
    <n v="2021"/>
    <d v="2454-02-27T00:00:00"/>
    <d v="2024-04-30T00:00:00"/>
    <s v="Apr"/>
    <s v="Q2"/>
  </r>
  <r>
    <s v="5YJSA1E28JF123452"/>
    <x v="5"/>
    <x v="33"/>
    <s v="SUV"/>
    <s v="Compact SUV"/>
    <s v="Luxury_Performance"/>
    <x v="34"/>
    <s v="$40K-$59.9K"/>
    <s v="Donna Harris"/>
    <s v="Donna"/>
    <s v="Harris"/>
    <s v="d.harris@email.com"/>
    <s v="Tesla Direct"/>
    <s v="Tesla Direct"/>
    <s v="West"/>
    <s v="Electric"/>
    <s v="UNKNOWN"/>
    <s v="Gray"/>
    <n v="6000"/>
    <n v="2024"/>
    <d v="2454-02-28T00:00:00"/>
    <d v="2024-05-31T00:00:00"/>
    <s v="May"/>
    <s v="Q2"/>
  </r>
  <r>
    <m/>
    <x v="9"/>
    <x v="34"/>
    <m/>
    <m/>
    <m/>
    <x v="35"/>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15EAA8-6012-9749-B90A-F7E33BEF8F2F}" name="PivotTable9"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G161:H207" firstHeaderRow="1" firstDataRow="1" firstDataCol="1"/>
  <pivotFields count="24">
    <pivotField showAll="0"/>
    <pivotField axis="axisRow" showAll="0">
      <items count="11">
        <item x="6"/>
        <item x="8"/>
        <item x="7"/>
        <item x="1"/>
        <item x="3"/>
        <item x="4"/>
        <item x="2"/>
        <item x="5"/>
        <item x="0"/>
        <item x="9"/>
        <item t="default"/>
      </items>
    </pivotField>
    <pivotField axis="axisRow" showAll="0">
      <items count="36">
        <item x="18"/>
        <item x="21"/>
        <item x="17"/>
        <item x="32"/>
        <item x="13"/>
        <item x="19"/>
        <item x="3"/>
        <item x="25"/>
        <item x="23"/>
        <item x="26"/>
        <item x="20"/>
        <item x="28"/>
        <item x="11"/>
        <item x="2"/>
        <item x="12"/>
        <item x="22"/>
        <item x="0"/>
        <item x="24"/>
        <item x="14"/>
        <item x="27"/>
        <item x="8"/>
        <item x="15"/>
        <item x="30"/>
        <item x="6"/>
        <item x="29"/>
        <item x="7"/>
        <item x="16"/>
        <item x="33"/>
        <item x="1"/>
        <item x="5"/>
        <item x="4"/>
        <item x="31"/>
        <item x="9"/>
        <item x="10"/>
        <item x="34"/>
        <item t="default"/>
      </items>
    </pivotField>
    <pivotField showAll="0"/>
    <pivotField showAll="0"/>
    <pivotField showAll="0"/>
    <pivotField dataField="1" showAll="0">
      <items count="37">
        <item x="33"/>
        <item x="34"/>
        <item x="11"/>
        <item x="19"/>
        <item x="2"/>
        <item x="14"/>
        <item x="0"/>
        <item x="12"/>
        <item x="13"/>
        <item x="25"/>
        <item x="1"/>
        <item x="17"/>
        <item x="24"/>
        <item x="3"/>
        <item x="30"/>
        <item x="27"/>
        <item x="9"/>
        <item x="6"/>
        <item x="32"/>
        <item x="26"/>
        <item x="23"/>
        <item x="10"/>
        <item x="15"/>
        <item x="4"/>
        <item x="18"/>
        <item x="7"/>
        <item x="31"/>
        <item x="21"/>
        <item x="5"/>
        <item x="8"/>
        <item x="28"/>
        <item x="16"/>
        <item x="20"/>
        <item x="22"/>
        <item x="29"/>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2"/>
  </rowFields>
  <rowItems count="46">
    <i>
      <x/>
    </i>
    <i r="1">
      <x/>
    </i>
    <i r="1">
      <x v="1"/>
    </i>
    <i r="1">
      <x v="24"/>
    </i>
    <i>
      <x v="1"/>
    </i>
    <i r="1">
      <x v="8"/>
    </i>
    <i r="1">
      <x v="9"/>
    </i>
    <i>
      <x v="2"/>
    </i>
    <i r="1">
      <x v="10"/>
    </i>
    <i r="1">
      <x v="11"/>
    </i>
    <i r="1">
      <x v="17"/>
    </i>
    <i>
      <x v="3"/>
    </i>
    <i r="1">
      <x v="3"/>
    </i>
    <i r="1">
      <x v="14"/>
    </i>
    <i>
      <x v="4"/>
    </i>
    <i r="1">
      <x v="2"/>
    </i>
    <i r="1">
      <x v="18"/>
    </i>
    <i r="1">
      <x v="19"/>
    </i>
    <i>
      <x v="5"/>
    </i>
    <i r="1">
      <x v="7"/>
    </i>
    <i r="1">
      <x v="15"/>
    </i>
    <i r="1">
      <x v="21"/>
    </i>
    <i>
      <x v="6"/>
    </i>
    <i r="1">
      <x v="4"/>
    </i>
    <i r="1">
      <x v="5"/>
    </i>
    <i r="1">
      <x v="22"/>
    </i>
    <i>
      <x v="7"/>
    </i>
    <i r="1">
      <x v="26"/>
    </i>
    <i r="1">
      <x v="27"/>
    </i>
    <i>
      <x v="8"/>
    </i>
    <i r="1">
      <x v="6"/>
    </i>
    <i r="1">
      <x v="12"/>
    </i>
    <i r="1">
      <x v="13"/>
    </i>
    <i r="1">
      <x v="16"/>
    </i>
    <i r="1">
      <x v="20"/>
    </i>
    <i r="1">
      <x v="23"/>
    </i>
    <i r="1">
      <x v="25"/>
    </i>
    <i r="1">
      <x v="28"/>
    </i>
    <i r="1">
      <x v="29"/>
    </i>
    <i r="1">
      <x v="30"/>
    </i>
    <i r="1">
      <x v="31"/>
    </i>
    <i r="1">
      <x v="32"/>
    </i>
    <i r="1">
      <x v="33"/>
    </i>
    <i>
      <x v="9"/>
    </i>
    <i r="1">
      <x v="34"/>
    </i>
    <i t="grand">
      <x/>
    </i>
  </rowItems>
  <colItems count="1">
    <i/>
  </colItems>
  <dataFields count="1">
    <dataField name="Sum of Sale_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D2C8CC-7D79-427B-B252-A0F07EA72BB6}" name="PivotTable1" cacheId="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C36" firstHeaderRow="1" firstDataRow="1" firstDataCol="2"/>
  <pivotFields count="24">
    <pivotField compact="0" outline="0" showAll="0">
      <items count="151">
        <item x="65"/>
        <item x="94"/>
        <item x="37"/>
        <item x="58"/>
        <item x="64"/>
        <item x="69"/>
        <item x="74"/>
        <item x="91"/>
        <item x="100"/>
        <item x="49"/>
        <item x="25"/>
        <item x="55"/>
        <item x="59"/>
        <item x="90"/>
        <item x="92"/>
        <item x="104"/>
        <item x="40"/>
        <item x="30"/>
        <item x="33"/>
        <item x="129"/>
        <item x="144"/>
        <item x="114"/>
        <item x="7"/>
        <item x="93"/>
        <item x="97"/>
        <item x="46"/>
        <item x="17"/>
        <item x="5"/>
        <item x="44"/>
        <item x="80"/>
        <item x="56"/>
        <item x="85"/>
        <item x="102"/>
        <item x="48"/>
        <item x="63"/>
        <item x="66"/>
        <item x="71"/>
        <item x="52"/>
        <item x="9"/>
        <item x="61"/>
        <item x="83"/>
        <item x="89"/>
        <item x="47"/>
        <item x="123"/>
        <item x="138"/>
        <item x="108"/>
        <item x="68"/>
        <item x="77"/>
        <item x="50"/>
        <item x="75"/>
        <item x="34"/>
        <item x="3"/>
        <item x="2"/>
        <item x="133"/>
        <item x="148"/>
        <item x="118"/>
        <item x="10"/>
        <item x="18"/>
        <item x="23"/>
        <item x="126"/>
        <item x="141"/>
        <item x="111"/>
        <item x="27"/>
        <item x="29"/>
        <item x="60"/>
        <item x="76"/>
        <item x="98"/>
        <item x="99"/>
        <item x="54"/>
        <item x="57"/>
        <item x="81"/>
        <item x="82"/>
        <item x="103"/>
        <item x="43"/>
        <item x="72"/>
        <item x="39"/>
        <item x="0"/>
        <item x="70"/>
        <item x="73"/>
        <item x="101"/>
        <item x="35"/>
        <item x="125"/>
        <item x="140"/>
        <item x="110"/>
        <item x="24"/>
        <item x="128"/>
        <item x="143"/>
        <item x="113"/>
        <item x="26"/>
        <item x="116"/>
        <item x="131"/>
        <item x="146"/>
        <item x="28"/>
        <item x="6"/>
        <item x="31"/>
        <item x="8"/>
        <item x="11"/>
        <item x="13"/>
        <item x="15"/>
        <item x="4"/>
        <item x="19"/>
        <item x="122"/>
        <item x="137"/>
        <item x="107"/>
        <item x="20"/>
        <item x="67"/>
        <item x="87"/>
        <item x="36"/>
        <item x="88"/>
        <item x="38"/>
        <item x="121"/>
        <item x="136"/>
        <item x="106"/>
        <item x="134"/>
        <item x="149"/>
        <item x="119"/>
        <item x="132"/>
        <item x="117"/>
        <item x="147"/>
        <item x="22"/>
        <item x="41"/>
        <item x="12"/>
        <item x="14"/>
        <item x="16"/>
        <item x="21"/>
        <item x="51"/>
        <item x="62"/>
        <item x="84"/>
        <item x="32"/>
        <item x="1"/>
        <item x="120"/>
        <item x="135"/>
        <item x="105"/>
        <item x="124"/>
        <item x="139"/>
        <item x="109"/>
        <item x="127"/>
        <item x="142"/>
        <item x="112"/>
        <item x="130"/>
        <item x="145"/>
        <item x="115"/>
        <item x="42"/>
        <item x="96"/>
        <item x="79"/>
        <item x="45"/>
        <item x="78"/>
        <item x="86"/>
        <item x="95"/>
        <item x="53"/>
        <item t="default"/>
      </items>
    </pivotField>
    <pivotField axis="axisRow" compact="0" outline="0" showAll="0">
      <items count="10">
        <item x="6"/>
        <item x="8"/>
        <item x="7"/>
        <item x="1"/>
        <item x="3"/>
        <item x="4"/>
        <item x="2"/>
        <item x="5"/>
        <item x="0"/>
        <item t="default"/>
      </items>
    </pivotField>
    <pivotField compact="0" outline="0" showAll="0">
      <items count="35">
        <item x="18"/>
        <item x="21"/>
        <item x="17"/>
        <item x="32"/>
        <item x="13"/>
        <item x="19"/>
        <item x="3"/>
        <item x="25"/>
        <item x="23"/>
        <item x="26"/>
        <item x="20"/>
        <item x="28"/>
        <item x="2"/>
        <item x="11"/>
        <item x="12"/>
        <item x="22"/>
        <item x="0"/>
        <item x="24"/>
        <item x="14"/>
        <item x="27"/>
        <item x="8"/>
        <item x="15"/>
        <item x="30"/>
        <item x="6"/>
        <item x="29"/>
        <item x="7"/>
        <item x="16"/>
        <item x="33"/>
        <item x="1"/>
        <item x="5"/>
        <item x="4"/>
        <item x="31"/>
        <item x="9"/>
        <item x="10"/>
        <item t="default"/>
      </items>
    </pivotField>
    <pivotField compact="0" outline="0" showAll="0"/>
    <pivotField compact="0" outline="0" showAll="0"/>
    <pivotField compact="0" outline="0" showAll="0">
      <items count="4">
        <item x="1"/>
        <item x="2"/>
        <item x="0"/>
        <item t="default"/>
      </items>
    </pivotField>
    <pivotField dataField="1" compact="0" numFmtId="164" outline="0" showAll="0"/>
    <pivotField compact="0" outline="0" showAll="0">
      <items count="6">
        <item x="1"/>
        <item x="2"/>
        <item x="3"/>
        <item x="4"/>
        <item x="0"/>
        <item t="default"/>
      </items>
    </pivotField>
    <pivotField compact="0" outline="0" showAll="0">
      <items count="70">
        <item x="19"/>
        <item x="36"/>
        <item x="14"/>
        <item x="13"/>
        <item x="52"/>
        <item x="9"/>
        <item x="40"/>
        <item x="16"/>
        <item x="20"/>
        <item x="30"/>
        <item x="32"/>
        <item x="26"/>
        <item x="18"/>
        <item x="23"/>
        <item x="4"/>
        <item x="51"/>
        <item x="24"/>
        <item x="11"/>
        <item x="68"/>
        <item x="53"/>
        <item x="58"/>
        <item x="39"/>
        <item x="66"/>
        <item x="43"/>
        <item x="61"/>
        <item x="6"/>
        <item x="17"/>
        <item x="64"/>
        <item x="57"/>
        <item x="29"/>
        <item x="3"/>
        <item x="25"/>
        <item x="60"/>
        <item x="33"/>
        <item x="54"/>
        <item x="63"/>
        <item x="41"/>
        <item x="10"/>
        <item x="67"/>
        <item x="56"/>
        <item x="35"/>
        <item x="49"/>
        <item x="7"/>
        <item x="38"/>
        <item x="45"/>
        <item x="47"/>
        <item x="37"/>
        <item x="12"/>
        <item x="34"/>
        <item x="55"/>
        <item x="15"/>
        <item x="28"/>
        <item x="2"/>
        <item x="44"/>
        <item x="31"/>
        <item x="5"/>
        <item x="21"/>
        <item x="62"/>
        <item x="1"/>
        <item x="65"/>
        <item x="59"/>
        <item x="8"/>
        <item x="0"/>
        <item x="50"/>
        <item x="22"/>
        <item x="27"/>
        <item x="42"/>
        <item x="48"/>
        <item x="46"/>
        <item t="default"/>
      </items>
    </pivotField>
    <pivotField compact="0" outline="0" showAll="0">
      <items count="67">
        <item x="19"/>
        <item x="14"/>
        <item x="13"/>
        <item x="51"/>
        <item x="9"/>
        <item x="39"/>
        <item x="16"/>
        <item x="20"/>
        <item x="30"/>
        <item x="32"/>
        <item x="26"/>
        <item x="18"/>
        <item x="23"/>
        <item x="4"/>
        <item x="50"/>
        <item x="24"/>
        <item x="11"/>
        <item x="65"/>
        <item x="52"/>
        <item x="57"/>
        <item x="38"/>
        <item x="64"/>
        <item x="42"/>
        <item x="6"/>
        <item x="17"/>
        <item x="62"/>
        <item x="56"/>
        <item x="29"/>
        <item x="3"/>
        <item x="25"/>
        <item x="59"/>
        <item x="33"/>
        <item x="53"/>
        <item x="61"/>
        <item x="40"/>
        <item x="10"/>
        <item x="55"/>
        <item x="35"/>
        <item x="48"/>
        <item x="7"/>
        <item x="37"/>
        <item x="44"/>
        <item x="46"/>
        <item x="36"/>
        <item x="12"/>
        <item x="34"/>
        <item x="54"/>
        <item x="15"/>
        <item x="28"/>
        <item x="2"/>
        <item x="43"/>
        <item x="31"/>
        <item x="5"/>
        <item x="21"/>
        <item x="60"/>
        <item x="1"/>
        <item x="63"/>
        <item x="58"/>
        <item x="8"/>
        <item x="0"/>
        <item x="49"/>
        <item x="22"/>
        <item x="27"/>
        <item x="41"/>
        <item x="47"/>
        <item x="45"/>
        <item t="default"/>
      </items>
    </pivotField>
    <pivotField compact="0" outline="0" showAll="0"/>
    <pivotField compact="0" outline="0" showAll="0"/>
    <pivotField compact="0" outline="0" showAll="0">
      <items count="11">
        <item x="9"/>
        <item x="5"/>
        <item x="3"/>
        <item x="1"/>
        <item x="4"/>
        <item x="2"/>
        <item x="7"/>
        <item x="6"/>
        <item x="0"/>
        <item x="8"/>
        <item t="default"/>
      </items>
    </pivotField>
    <pivotField compact="0" outline="0" showAll="0"/>
    <pivotField compact="0" outline="0" showAll="0"/>
    <pivotField compact="0" outline="0" showAll="0">
      <items count="5">
        <item x="3"/>
        <item x="0"/>
        <item x="1"/>
        <item x="2"/>
        <item t="default"/>
      </items>
    </pivotField>
    <pivotField compact="0" outline="0" showAll="0"/>
    <pivotField compact="0" outline="0" showAll="0">
      <items count="11">
        <item x="1"/>
        <item x="3"/>
        <item x="6"/>
        <item x="8"/>
        <item x="5"/>
        <item x="4"/>
        <item x="2"/>
        <item x="9"/>
        <item x="0"/>
        <item x="7"/>
        <item t="default"/>
      </items>
    </pivotField>
    <pivotField compact="0" numFmtId="2" outline="0" showAll="0"/>
    <pivotField compact="0" outline="0" showAll="0"/>
    <pivotField compact="0" numFmtId="14" outline="0" showAll="0">
      <items count="13">
        <item x="0"/>
        <item x="1"/>
        <item x="2"/>
        <item x="9"/>
        <item x="10"/>
        <item x="11"/>
        <item x="3"/>
        <item x="4"/>
        <item x="5"/>
        <item x="6"/>
        <item x="7"/>
        <item x="8"/>
        <item t="default"/>
      </items>
    </pivotField>
    <pivotField compact="0" numFmtId="165" outline="0" showAll="0">
      <items count="13">
        <item x="0"/>
        <item x="1"/>
        <item x="2"/>
        <item x="9"/>
        <item x="10"/>
        <item x="11"/>
        <item x="3"/>
        <item x="4"/>
        <item x="5"/>
        <item x="6"/>
        <item x="7"/>
        <item x="8"/>
        <item t="default"/>
      </items>
    </pivotField>
    <pivotField compact="0" outline="0" showAll="0">
      <items count="13">
        <item x="0"/>
        <item x="1"/>
        <item x="2"/>
        <item x="9"/>
        <item x="10"/>
        <item x="11"/>
        <item x="3"/>
        <item x="4"/>
        <item x="5"/>
        <item x="6"/>
        <item x="7"/>
        <item x="8"/>
        <item t="default"/>
      </items>
    </pivotField>
    <pivotField axis="axisRow" compact="0" outline="0" showAll="0">
      <items count="5">
        <item x="0"/>
        <item x="3"/>
        <item x="1"/>
        <item x="2"/>
        <item t="default"/>
      </items>
    </pivotField>
  </pivotFields>
  <rowFields count="2">
    <field x="1"/>
    <field x="23"/>
  </rowFields>
  <rowItems count="33">
    <i>
      <x/>
      <x v="2"/>
    </i>
    <i r="1">
      <x v="3"/>
    </i>
    <i t="default">
      <x/>
    </i>
    <i>
      <x v="1"/>
      <x v="2"/>
    </i>
    <i r="1">
      <x v="3"/>
    </i>
    <i t="default">
      <x v="1"/>
    </i>
    <i>
      <x v="2"/>
      <x v="2"/>
    </i>
    <i r="1">
      <x v="3"/>
    </i>
    <i t="default">
      <x v="2"/>
    </i>
    <i>
      <x v="3"/>
      <x/>
    </i>
    <i r="1">
      <x v="1"/>
    </i>
    <i t="default">
      <x v="3"/>
    </i>
    <i>
      <x v="4"/>
      <x/>
    </i>
    <i r="1">
      <x v="2"/>
    </i>
    <i r="1">
      <x v="3"/>
    </i>
    <i t="default">
      <x v="4"/>
    </i>
    <i>
      <x v="5"/>
      <x/>
    </i>
    <i r="1">
      <x v="2"/>
    </i>
    <i r="1">
      <x v="3"/>
    </i>
    <i t="default">
      <x v="5"/>
    </i>
    <i>
      <x v="6"/>
      <x/>
    </i>
    <i r="1">
      <x v="2"/>
    </i>
    <i r="1">
      <x v="3"/>
    </i>
    <i t="default">
      <x v="6"/>
    </i>
    <i>
      <x v="7"/>
      <x/>
    </i>
    <i r="1">
      <x v="1"/>
    </i>
    <i t="default">
      <x v="7"/>
    </i>
    <i>
      <x v="8"/>
      <x/>
    </i>
    <i r="1">
      <x v="1"/>
    </i>
    <i r="1">
      <x v="2"/>
    </i>
    <i r="1">
      <x v="3"/>
    </i>
    <i t="default">
      <x v="8"/>
    </i>
    <i t="grand">
      <x/>
    </i>
  </rowItems>
  <colItems count="1">
    <i/>
  </colItems>
  <dataFields count="1">
    <dataField name="Sum of Sale_Price" fld="6" baseField="0" baseItem="0" numFmtId="164"/>
  </dataFields>
  <chartFormats count="2">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95359-0205-C34F-997B-9840DB01F5CC}" name="PivotTable2"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8" firstHeaderRow="0" firstDataRow="1" firstDataCol="1"/>
  <pivotFields count="25">
    <pivotField dataField="1" showAll="0">
      <items count="151">
        <item x="65"/>
        <item x="94"/>
        <item x="37"/>
        <item x="58"/>
        <item x="64"/>
        <item x="69"/>
        <item x="74"/>
        <item x="91"/>
        <item x="100"/>
        <item x="49"/>
        <item x="25"/>
        <item x="55"/>
        <item x="59"/>
        <item x="90"/>
        <item x="92"/>
        <item x="104"/>
        <item x="40"/>
        <item x="30"/>
        <item x="33"/>
        <item x="129"/>
        <item x="144"/>
        <item x="114"/>
        <item x="7"/>
        <item x="93"/>
        <item x="97"/>
        <item x="46"/>
        <item x="17"/>
        <item x="5"/>
        <item x="44"/>
        <item x="80"/>
        <item x="56"/>
        <item x="85"/>
        <item x="102"/>
        <item x="48"/>
        <item x="63"/>
        <item x="66"/>
        <item x="71"/>
        <item x="52"/>
        <item x="9"/>
        <item x="61"/>
        <item x="83"/>
        <item x="89"/>
        <item x="47"/>
        <item x="123"/>
        <item x="138"/>
        <item x="108"/>
        <item x="68"/>
        <item x="77"/>
        <item x="50"/>
        <item x="75"/>
        <item x="34"/>
        <item x="3"/>
        <item x="2"/>
        <item x="133"/>
        <item x="148"/>
        <item x="118"/>
        <item x="10"/>
        <item x="18"/>
        <item x="23"/>
        <item x="126"/>
        <item x="141"/>
        <item x="111"/>
        <item x="27"/>
        <item x="29"/>
        <item x="60"/>
        <item x="76"/>
        <item x="98"/>
        <item x="99"/>
        <item x="54"/>
        <item x="57"/>
        <item x="81"/>
        <item x="82"/>
        <item x="103"/>
        <item x="43"/>
        <item x="72"/>
        <item x="39"/>
        <item x="0"/>
        <item x="70"/>
        <item x="73"/>
        <item x="101"/>
        <item x="35"/>
        <item x="125"/>
        <item x="140"/>
        <item x="110"/>
        <item x="24"/>
        <item x="128"/>
        <item x="143"/>
        <item x="113"/>
        <item x="26"/>
        <item x="116"/>
        <item x="131"/>
        <item x="146"/>
        <item x="28"/>
        <item x="6"/>
        <item x="31"/>
        <item x="8"/>
        <item x="11"/>
        <item x="13"/>
        <item x="15"/>
        <item x="4"/>
        <item x="19"/>
        <item x="122"/>
        <item x="137"/>
        <item x="107"/>
        <item x="20"/>
        <item x="67"/>
        <item x="87"/>
        <item x="36"/>
        <item x="88"/>
        <item x="38"/>
        <item x="121"/>
        <item x="136"/>
        <item x="106"/>
        <item x="134"/>
        <item x="149"/>
        <item x="119"/>
        <item x="132"/>
        <item x="117"/>
        <item x="147"/>
        <item x="22"/>
        <item x="41"/>
        <item x="12"/>
        <item x="14"/>
        <item x="16"/>
        <item x="21"/>
        <item x="51"/>
        <item x="62"/>
        <item x="84"/>
        <item x="32"/>
        <item x="1"/>
        <item x="120"/>
        <item x="135"/>
        <item x="105"/>
        <item x="124"/>
        <item x="139"/>
        <item x="109"/>
        <item x="127"/>
        <item x="142"/>
        <item x="112"/>
        <item x="130"/>
        <item x="145"/>
        <item x="115"/>
        <item x="42"/>
        <item x="96"/>
        <item x="79"/>
        <item x="45"/>
        <item x="78"/>
        <item x="86"/>
        <item x="95"/>
        <item x="53"/>
        <item t="default"/>
      </items>
    </pivotField>
    <pivotField showAll="0"/>
    <pivotField showAll="0"/>
    <pivotField showAll="0">
      <items count="6">
        <item x="3"/>
        <item x="1"/>
        <item x="0"/>
        <item x="2"/>
        <item x="4"/>
        <item t="default"/>
      </items>
    </pivotField>
    <pivotField showAll="0"/>
    <pivotField showAll="0"/>
    <pivotField dataField="1" numFmtId="164" showAll="0">
      <items count="36">
        <item x="33"/>
        <item x="34"/>
        <item x="11"/>
        <item x="19"/>
        <item x="2"/>
        <item x="14"/>
        <item x="0"/>
        <item x="12"/>
        <item x="13"/>
        <item x="25"/>
        <item x="1"/>
        <item x="17"/>
        <item x="24"/>
        <item x="3"/>
        <item x="30"/>
        <item x="27"/>
        <item x="9"/>
        <item x="6"/>
        <item x="32"/>
        <item x="26"/>
        <item x="23"/>
        <item x="10"/>
        <item x="15"/>
        <item x="4"/>
        <item x="18"/>
        <item x="7"/>
        <item x="31"/>
        <item x="21"/>
        <item x="5"/>
        <item x="8"/>
        <item x="28"/>
        <item x="16"/>
        <item x="20"/>
        <item x="22"/>
        <item x="29"/>
        <item t="default"/>
      </items>
    </pivotField>
    <pivotField showAll="0"/>
    <pivotField showAll="0"/>
    <pivotField showAll="0"/>
    <pivotField showAll="0"/>
    <pivotField showAll="0"/>
    <pivotField showAll="0"/>
    <pivotField showAll="0"/>
    <pivotField axis="axisRow" showAll="0">
      <items count="5">
        <item x="2"/>
        <item x="1"/>
        <item x="3"/>
        <item x="0"/>
        <item t="default"/>
      </items>
    </pivotField>
    <pivotField showAll="0"/>
    <pivotField showAll="0"/>
    <pivotField showAll="0"/>
    <pivotField numFmtId="2" showAll="0"/>
    <pivotField showAll="0"/>
    <pivotField numFmtId="14" showAll="0"/>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Fields count="1">
    <field x="-2"/>
  </colFields>
  <colItems count="2">
    <i>
      <x/>
    </i>
    <i i="1">
      <x v="1"/>
    </i>
  </colItems>
  <dataFields count="2">
    <dataField name="Sum of Sale_Price" fld="6" baseField="0" baseItem="0"/>
    <dataField name="Count of VIN" fld="0" subtotal="count" baseField="0" baseItem="0"/>
  </dataFields>
  <chartFormats count="1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12">
      <pivotArea type="data" outline="0" fieldPosition="0">
        <references count="1">
          <reference field="4294967294" count="1" selected="0">
            <x v="0"/>
          </reference>
        </references>
      </pivotArea>
    </chartFormat>
    <chartFormat chart="2" format="13">
      <pivotArea type="data" outline="0" fieldPosition="0">
        <references count="1">
          <reference field="4294967294" count="1" selected="0">
            <x v="1"/>
          </reference>
        </references>
      </pivotArea>
    </chartFormat>
    <chartFormat chart="2" format="14">
      <pivotArea type="data" outline="0" fieldPosition="0">
        <references count="2">
          <reference field="4294967294" count="1" selected="0">
            <x v="0"/>
          </reference>
          <reference field="14" count="1" selected="0">
            <x v="0"/>
          </reference>
        </references>
      </pivotArea>
    </chartFormat>
    <chartFormat chart="2" format="15">
      <pivotArea type="data" outline="0" fieldPosition="0">
        <references count="2">
          <reference field="4294967294" count="1" selected="0">
            <x v="0"/>
          </reference>
          <reference field="14" count="1" selected="0">
            <x v="1"/>
          </reference>
        </references>
      </pivotArea>
    </chartFormat>
    <chartFormat chart="2" format="16">
      <pivotArea type="data" outline="0" fieldPosition="0">
        <references count="2">
          <reference field="4294967294" count="1" selected="0">
            <x v="0"/>
          </reference>
          <reference field="14" count="1" selected="0">
            <x v="2"/>
          </reference>
        </references>
      </pivotArea>
    </chartFormat>
    <chartFormat chart="2" format="17">
      <pivotArea type="data" outline="0" fieldPosition="0">
        <references count="2">
          <reference field="4294967294" count="1" selected="0">
            <x v="0"/>
          </reference>
          <reference field="14" count="1" selected="0">
            <x v="3"/>
          </reference>
        </references>
      </pivotArea>
    </chartFormat>
    <chartFormat chart="2" format="18">
      <pivotArea type="data" outline="0" fieldPosition="0">
        <references count="2">
          <reference field="4294967294" count="1" selected="0">
            <x v="1"/>
          </reference>
          <reference field="14" count="1" selected="0">
            <x v="0"/>
          </reference>
        </references>
      </pivotArea>
    </chartFormat>
    <chartFormat chart="2" format="19">
      <pivotArea type="data" outline="0" fieldPosition="0">
        <references count="2">
          <reference field="4294967294" count="1" selected="0">
            <x v="1"/>
          </reference>
          <reference field="14" count="1" selected="0">
            <x v="1"/>
          </reference>
        </references>
      </pivotArea>
    </chartFormat>
    <chartFormat chart="2" format="20">
      <pivotArea type="data" outline="0" fieldPosition="0">
        <references count="2">
          <reference field="4294967294" count="1" selected="0">
            <x v="1"/>
          </reference>
          <reference field="14" count="1" selected="0">
            <x v="2"/>
          </reference>
        </references>
      </pivotArea>
    </chartFormat>
    <chartFormat chart="2" format="21">
      <pivotArea type="data" outline="0" fieldPosition="0">
        <references count="2">
          <reference field="4294967294" count="1" selected="0">
            <x v="1"/>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BED0BF-5136-9841-9186-595BABF8B709}" name="PivotTable3"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L5" firstHeaderRow="1" firstDataRow="2" firstDataCol="1"/>
  <pivotFields count="25">
    <pivotField showAll="0"/>
    <pivotField showAll="0">
      <items count="10">
        <item x="6"/>
        <item x="8"/>
        <item x="7"/>
        <item x="1"/>
        <item x="3"/>
        <item x="4"/>
        <item x="2"/>
        <item x="5"/>
        <item x="0"/>
        <item t="default"/>
      </items>
    </pivotField>
    <pivotField showAll="0"/>
    <pivotField showAll="0"/>
    <pivotField showAll="0"/>
    <pivotField showAll="0"/>
    <pivotField dataField="1" numFmtId="164" showAll="0"/>
    <pivotField showAll="0"/>
    <pivotField showAll="0"/>
    <pivotField showAll="0"/>
    <pivotField showAll="0"/>
    <pivotField showAll="0"/>
    <pivotField showAll="0"/>
    <pivotField axis="axisCol" showAll="0">
      <items count="11">
        <item x="9"/>
        <item x="5"/>
        <item x="3"/>
        <item x="1"/>
        <item x="4"/>
        <item x="2"/>
        <item x="7"/>
        <item x="6"/>
        <item x="0"/>
        <item x="8"/>
        <item t="default"/>
      </items>
    </pivotField>
    <pivotField showAll="0"/>
    <pivotField showAll="0"/>
    <pivotField showAll="0"/>
    <pivotField showAll="0"/>
    <pivotField numFmtId="2" showAll="0"/>
    <pivotField showAll="0"/>
    <pivotField numFmtId="14" showAll="0">
      <items count="13">
        <item x="0"/>
        <item x="1"/>
        <item x="2"/>
        <item x="9"/>
        <item x="10"/>
        <item x="11"/>
        <item x="3"/>
        <item x="4"/>
        <item x="5"/>
        <item x="6"/>
        <item x="7"/>
        <item x="8"/>
        <item t="default"/>
      </items>
    </pivotField>
    <pivotField numFmtId="16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13"/>
  </colFields>
  <colItems count="11">
    <i>
      <x/>
    </i>
    <i>
      <x v="1"/>
    </i>
    <i>
      <x v="2"/>
    </i>
    <i>
      <x v="3"/>
    </i>
    <i>
      <x v="4"/>
    </i>
    <i>
      <x v="5"/>
    </i>
    <i>
      <x v="6"/>
    </i>
    <i>
      <x v="7"/>
    </i>
    <i>
      <x v="8"/>
    </i>
    <i>
      <x v="9"/>
    </i>
    <i t="grand">
      <x/>
    </i>
  </colItems>
  <dataFields count="1">
    <dataField name="Sum of Sale_Price" fld="6" baseField="0" baseItem="0"/>
  </dataFields>
  <chartFormats count="10">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series="1">
      <pivotArea type="data" outline="0" fieldPosition="0">
        <references count="2">
          <reference field="4294967294" count="1" selected="0">
            <x v="0"/>
          </reference>
          <reference field="13" count="1" selected="0">
            <x v="3"/>
          </reference>
        </references>
      </pivotArea>
    </chartFormat>
    <chartFormat chart="2" format="4" series="1">
      <pivotArea type="data" outline="0" fieldPosition="0">
        <references count="2">
          <reference field="4294967294" count="1" selected="0">
            <x v="0"/>
          </reference>
          <reference field="13" count="1" selected="0">
            <x v="4"/>
          </reference>
        </references>
      </pivotArea>
    </chartFormat>
    <chartFormat chart="2" format="5" series="1">
      <pivotArea type="data" outline="0" fieldPosition="0">
        <references count="2">
          <reference field="4294967294" count="1" selected="0">
            <x v="0"/>
          </reference>
          <reference field="13" count="1" selected="0">
            <x v="5"/>
          </reference>
        </references>
      </pivotArea>
    </chartFormat>
    <chartFormat chart="2" format="6" series="1">
      <pivotArea type="data" outline="0" fieldPosition="0">
        <references count="2">
          <reference field="4294967294" count="1" selected="0">
            <x v="0"/>
          </reference>
          <reference field="13" count="1" selected="0">
            <x v="6"/>
          </reference>
        </references>
      </pivotArea>
    </chartFormat>
    <chartFormat chart="2" format="7" series="1">
      <pivotArea type="data" outline="0" fieldPosition="0">
        <references count="2">
          <reference field="4294967294" count="1" selected="0">
            <x v="0"/>
          </reference>
          <reference field="13" count="1" selected="0">
            <x v="7"/>
          </reference>
        </references>
      </pivotArea>
    </chartFormat>
    <chartFormat chart="2" format="8" series="1">
      <pivotArea type="data" outline="0" fieldPosition="0">
        <references count="2">
          <reference field="4294967294" count="1" selected="0">
            <x v="0"/>
          </reference>
          <reference field="13" count="1" selected="0">
            <x v="8"/>
          </reference>
        </references>
      </pivotArea>
    </chartFormat>
    <chartFormat chart="2" format="9" series="1">
      <pivotArea type="data" outline="0" fieldPosition="0">
        <references count="2">
          <reference field="4294967294" count="1" selected="0">
            <x v="0"/>
          </reference>
          <reference field="13"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CC1443-DE9F-8445-A5A7-C28A77EDD00A}" name="PivotTable4"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B8" firstHeaderRow="1" firstDataRow="1" firstDataCol="1"/>
  <pivotFields count="25">
    <pivotField showAll="0"/>
    <pivotField showAll="0"/>
    <pivotField showAll="0"/>
    <pivotField showAll="0"/>
    <pivotField showAll="0"/>
    <pivotField showAll="0"/>
    <pivotField dataField="1" numFmtId="164" showAll="0">
      <items count="36">
        <item x="33"/>
        <item x="34"/>
        <item x="11"/>
        <item x="19"/>
        <item x="2"/>
        <item x="14"/>
        <item x="0"/>
        <item x="12"/>
        <item x="13"/>
        <item x="25"/>
        <item x="1"/>
        <item x="17"/>
        <item x="24"/>
        <item x="3"/>
        <item x="30"/>
        <item x="27"/>
        <item x="9"/>
        <item x="6"/>
        <item x="32"/>
        <item x="26"/>
        <item x="23"/>
        <item x="10"/>
        <item x="15"/>
        <item x="4"/>
        <item x="18"/>
        <item x="7"/>
        <item x="31"/>
        <item x="21"/>
        <item x="5"/>
        <item x="8"/>
        <item x="28"/>
        <item x="16"/>
        <item x="20"/>
        <item x="22"/>
        <item x="29"/>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14" showAll="0"/>
    <pivotField numFmtId="165" showAll="0"/>
    <pivotField showAll="0">
      <items count="13">
        <item x="0"/>
        <item x="1"/>
        <item x="2"/>
        <item x="9"/>
        <item x="10"/>
        <item x="11"/>
        <item x="3"/>
        <item x="4"/>
        <item x="5"/>
        <item x="6"/>
        <item x="7"/>
        <item x="8"/>
        <item t="default"/>
      </items>
    </pivotField>
    <pivotField axis="axisRow" showAll="0">
      <items count="5">
        <item x="0"/>
        <item x="3"/>
        <item x="1"/>
        <item x="2"/>
        <item t="default"/>
      </items>
    </pivotField>
    <pivotField showAll="0" defaultSubtotal="0"/>
  </pivotFields>
  <rowFields count="1">
    <field x="23"/>
  </rowFields>
  <rowItems count="5">
    <i>
      <x/>
    </i>
    <i>
      <x v="1"/>
    </i>
    <i>
      <x v="2"/>
    </i>
    <i>
      <x v="3"/>
    </i>
    <i t="grand">
      <x/>
    </i>
  </rowItems>
  <colItems count="1">
    <i/>
  </colItems>
  <dataFields count="1">
    <dataField name="Sum of Sale_Price" fld="6" baseField="0" baseItem="0"/>
  </dataFields>
  <chartFormats count="2">
    <chartFormat chart="6"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1145AB-5E06-7747-8093-D9AC4A5EB674}" name="PivotTable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6" firstHeaderRow="1" firstDataRow="1" firstDataCol="1"/>
  <pivotFields count="25">
    <pivotField showAll="0">
      <items count="151">
        <item x="65"/>
        <item x="94"/>
        <item x="37"/>
        <item x="58"/>
        <item x="64"/>
        <item x="69"/>
        <item x="74"/>
        <item x="91"/>
        <item x="100"/>
        <item x="49"/>
        <item x="25"/>
        <item x="55"/>
        <item x="59"/>
        <item x="90"/>
        <item x="92"/>
        <item x="104"/>
        <item x="40"/>
        <item x="30"/>
        <item x="33"/>
        <item x="129"/>
        <item x="144"/>
        <item x="114"/>
        <item x="7"/>
        <item x="93"/>
        <item x="97"/>
        <item x="46"/>
        <item x="17"/>
        <item x="5"/>
        <item x="44"/>
        <item x="80"/>
        <item x="56"/>
        <item x="85"/>
        <item x="102"/>
        <item x="48"/>
        <item x="63"/>
        <item x="66"/>
        <item x="71"/>
        <item x="52"/>
        <item x="9"/>
        <item x="61"/>
        <item x="83"/>
        <item x="89"/>
        <item x="47"/>
        <item x="123"/>
        <item x="138"/>
        <item x="108"/>
        <item x="68"/>
        <item x="77"/>
        <item x="50"/>
        <item x="75"/>
        <item x="34"/>
        <item x="3"/>
        <item x="2"/>
        <item x="133"/>
        <item x="148"/>
        <item x="118"/>
        <item x="10"/>
        <item x="18"/>
        <item x="23"/>
        <item x="126"/>
        <item x="141"/>
        <item x="111"/>
        <item x="27"/>
        <item x="29"/>
        <item x="60"/>
        <item x="76"/>
        <item x="98"/>
        <item x="99"/>
        <item x="54"/>
        <item x="57"/>
        <item x="81"/>
        <item x="82"/>
        <item x="103"/>
        <item x="43"/>
        <item x="72"/>
        <item x="39"/>
        <item x="0"/>
        <item x="70"/>
        <item x="73"/>
        <item x="101"/>
        <item x="35"/>
        <item x="125"/>
        <item x="140"/>
        <item x="110"/>
        <item x="24"/>
        <item x="128"/>
        <item x="143"/>
        <item x="113"/>
        <item x="26"/>
        <item x="116"/>
        <item x="131"/>
        <item x="146"/>
        <item x="28"/>
        <item x="6"/>
        <item x="31"/>
        <item x="8"/>
        <item x="11"/>
        <item x="13"/>
        <item x="15"/>
        <item x="4"/>
        <item x="19"/>
        <item x="122"/>
        <item x="137"/>
        <item x="107"/>
        <item x="20"/>
        <item x="67"/>
        <item x="87"/>
        <item x="36"/>
        <item x="88"/>
        <item x="38"/>
        <item x="121"/>
        <item x="136"/>
        <item x="106"/>
        <item x="134"/>
        <item x="149"/>
        <item x="119"/>
        <item x="132"/>
        <item x="117"/>
        <item x="147"/>
        <item x="22"/>
        <item x="41"/>
        <item x="12"/>
        <item x="14"/>
        <item x="16"/>
        <item x="21"/>
        <item x="51"/>
        <item x="62"/>
        <item x="84"/>
        <item x="32"/>
        <item x="1"/>
        <item x="120"/>
        <item x="135"/>
        <item x="105"/>
        <item x="124"/>
        <item x="139"/>
        <item x="109"/>
        <item x="127"/>
        <item x="142"/>
        <item x="112"/>
        <item x="130"/>
        <item x="145"/>
        <item x="115"/>
        <item x="42"/>
        <item x="96"/>
        <item x="79"/>
        <item x="45"/>
        <item x="78"/>
        <item x="86"/>
        <item x="95"/>
        <item x="53"/>
        <item t="default"/>
      </items>
    </pivotField>
    <pivotField showAll="0"/>
    <pivotField showAll="0">
      <items count="35">
        <item x="18"/>
        <item x="21"/>
        <item x="17"/>
        <item x="32"/>
        <item x="13"/>
        <item x="19"/>
        <item x="3"/>
        <item x="25"/>
        <item x="23"/>
        <item x="26"/>
        <item x="20"/>
        <item x="28"/>
        <item x="11"/>
        <item x="2"/>
        <item x="12"/>
        <item x="22"/>
        <item x="0"/>
        <item x="24"/>
        <item x="14"/>
        <item x="27"/>
        <item x="8"/>
        <item x="15"/>
        <item x="30"/>
        <item x="6"/>
        <item x="29"/>
        <item x="7"/>
        <item x="16"/>
        <item x="33"/>
        <item x="1"/>
        <item x="5"/>
        <item x="4"/>
        <item x="31"/>
        <item x="9"/>
        <item x="10"/>
        <item t="default"/>
      </items>
    </pivotField>
    <pivotField showAll="0"/>
    <pivotField showAll="0"/>
    <pivotField showAll="0">
      <items count="4">
        <item x="1"/>
        <item x="2"/>
        <item x="0"/>
        <item t="default"/>
      </items>
    </pivotField>
    <pivotField dataField="1" numFmtId="164" showAll="0">
      <items count="36">
        <item x="33"/>
        <item x="34"/>
        <item x="11"/>
        <item x="19"/>
        <item x="2"/>
        <item x="14"/>
        <item x="0"/>
        <item x="12"/>
        <item x="13"/>
        <item x="25"/>
        <item x="1"/>
        <item x="17"/>
        <item x="24"/>
        <item x="3"/>
        <item x="30"/>
        <item x="27"/>
        <item x="9"/>
        <item x="6"/>
        <item x="32"/>
        <item x="26"/>
        <item x="23"/>
        <item x="10"/>
        <item x="15"/>
        <item x="4"/>
        <item x="18"/>
        <item x="7"/>
        <item x="31"/>
        <item x="21"/>
        <item x="5"/>
        <item x="8"/>
        <item x="28"/>
        <item x="16"/>
        <item x="20"/>
        <item x="22"/>
        <item x="29"/>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14" showAll="0"/>
    <pivotField numFmtId="165" showAll="0"/>
    <pivotField axis="axisRow" showAll="0">
      <items count="13">
        <item x="0"/>
        <item x="1"/>
        <item x="2"/>
        <item x="9"/>
        <item x="10"/>
        <item x="11"/>
        <item x="3"/>
        <item x="4"/>
        <item x="5"/>
        <item x="6"/>
        <item x="7"/>
        <item x="8"/>
        <item t="default"/>
      </items>
    </pivotField>
    <pivotField showAll="0"/>
    <pivotField showAll="0" defaultSubtotal="0"/>
  </pivotFields>
  <rowFields count="1">
    <field x="22"/>
  </rowFields>
  <rowItems count="13">
    <i>
      <x/>
    </i>
    <i>
      <x v="1"/>
    </i>
    <i>
      <x v="2"/>
    </i>
    <i>
      <x v="3"/>
    </i>
    <i>
      <x v="4"/>
    </i>
    <i>
      <x v="5"/>
    </i>
    <i>
      <x v="6"/>
    </i>
    <i>
      <x v="7"/>
    </i>
    <i>
      <x v="8"/>
    </i>
    <i>
      <x v="9"/>
    </i>
    <i>
      <x v="10"/>
    </i>
    <i>
      <x v="11"/>
    </i>
    <i t="grand">
      <x/>
    </i>
  </rowItems>
  <colItems count="1">
    <i/>
  </colItems>
  <dataFields count="1">
    <dataField name="Sum of Sale_Price" fld="6" baseField="0" baseItem="0"/>
  </dataFields>
  <chartFormats count="11">
    <chartFormat chart="0" format="0" series="1">
      <pivotArea type="data" outline="0" fieldPosition="0">
        <references count="1">
          <reference field="4294967294" count="1" selected="0">
            <x v="0"/>
          </reference>
        </references>
      </pivotArea>
    </chartFormat>
    <chartFormat chart="0" format="154" series="1">
      <pivotArea type="data" outline="0" fieldPosition="0">
        <references count="2">
          <reference field="4294967294" count="1" selected="0">
            <x v="0"/>
          </reference>
          <reference field="22" count="1" selected="0">
            <x v="2"/>
          </reference>
        </references>
      </pivotArea>
    </chartFormat>
    <chartFormat chart="0" format="155" series="1">
      <pivotArea type="data" outline="0" fieldPosition="0">
        <references count="2">
          <reference field="4294967294" count="1" selected="0">
            <x v="0"/>
          </reference>
          <reference field="22" count="1" selected="0">
            <x v="3"/>
          </reference>
        </references>
      </pivotArea>
    </chartFormat>
    <chartFormat chart="0" format="156" series="1">
      <pivotArea type="data" outline="0" fieldPosition="0">
        <references count="2">
          <reference field="4294967294" count="1" selected="0">
            <x v="0"/>
          </reference>
          <reference field="22" count="1" selected="0">
            <x v="4"/>
          </reference>
        </references>
      </pivotArea>
    </chartFormat>
    <chartFormat chart="0" format="157" series="1">
      <pivotArea type="data" outline="0" fieldPosition="0">
        <references count="2">
          <reference field="4294967294" count="1" selected="0">
            <x v="0"/>
          </reference>
          <reference field="22" count="1" selected="0">
            <x v="5"/>
          </reference>
        </references>
      </pivotArea>
    </chartFormat>
    <chartFormat chart="0" format="158" series="1">
      <pivotArea type="data" outline="0" fieldPosition="0">
        <references count="2">
          <reference field="4294967294" count="1" selected="0">
            <x v="0"/>
          </reference>
          <reference field="22" count="1" selected="0">
            <x v="6"/>
          </reference>
        </references>
      </pivotArea>
    </chartFormat>
    <chartFormat chart="0" format="159" series="1">
      <pivotArea type="data" outline="0" fieldPosition="0">
        <references count="2">
          <reference field="4294967294" count="1" selected="0">
            <x v="0"/>
          </reference>
          <reference field="22" count="1" selected="0">
            <x v="7"/>
          </reference>
        </references>
      </pivotArea>
    </chartFormat>
    <chartFormat chart="0" format="160" series="1">
      <pivotArea type="data" outline="0" fieldPosition="0">
        <references count="2">
          <reference field="4294967294" count="1" selected="0">
            <x v="0"/>
          </reference>
          <reference field="22" count="1" selected="0">
            <x v="8"/>
          </reference>
        </references>
      </pivotArea>
    </chartFormat>
    <chartFormat chart="0" format="161" series="1">
      <pivotArea type="data" outline="0" fieldPosition="0">
        <references count="2">
          <reference field="4294967294" count="1" selected="0">
            <x v="0"/>
          </reference>
          <reference field="22" count="1" selected="0">
            <x v="9"/>
          </reference>
        </references>
      </pivotArea>
    </chartFormat>
    <chartFormat chart="0" format="162" series="1">
      <pivotArea type="data" outline="0" fieldPosition="0">
        <references count="2">
          <reference field="4294967294" count="1" selected="0">
            <x v="0"/>
          </reference>
          <reference field="22" count="1" selected="0">
            <x v="10"/>
          </reference>
        </references>
      </pivotArea>
    </chartFormat>
    <chartFormat chart="0" format="163" series="1">
      <pivotArea type="data" outline="0" fieldPosition="0">
        <references count="2">
          <reference field="4294967294" count="1" selected="0">
            <x v="0"/>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BC7C59-0081-E341-9238-E981D6457FE4}" name="PivotTable8"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47" firstHeaderRow="1" firstDataRow="1" firstDataCol="1"/>
  <pivotFields count="25">
    <pivotField showAll="0"/>
    <pivotField axis="axisRow" showAll="0">
      <items count="10">
        <item x="6"/>
        <item x="8"/>
        <item x="7"/>
        <item x="1"/>
        <item x="3"/>
        <item x="4"/>
        <item x="2"/>
        <item x="5"/>
        <item x="0"/>
        <item t="default"/>
      </items>
    </pivotField>
    <pivotField axis="axisRow" showAll="0">
      <items count="35">
        <item x="18"/>
        <item x="21"/>
        <item x="17"/>
        <item x="32"/>
        <item x="13"/>
        <item x="19"/>
        <item x="3"/>
        <item x="25"/>
        <item x="23"/>
        <item x="26"/>
        <item x="20"/>
        <item x="28"/>
        <item x="11"/>
        <item x="2"/>
        <item x="12"/>
        <item x="22"/>
        <item x="0"/>
        <item x="24"/>
        <item x="14"/>
        <item x="27"/>
        <item x="8"/>
        <item x="15"/>
        <item x="30"/>
        <item x="6"/>
        <item x="29"/>
        <item x="7"/>
        <item x="16"/>
        <item x="33"/>
        <item x="1"/>
        <item x="5"/>
        <item x="4"/>
        <item x="31"/>
        <item x="9"/>
        <item x="10"/>
        <item t="default"/>
      </items>
    </pivotField>
    <pivotField showAll="0"/>
    <pivotField showAll="0"/>
    <pivotField showAll="0"/>
    <pivotField dataField="1" numFmtId="164" showAll="0">
      <items count="36">
        <item x="33"/>
        <item x="34"/>
        <item x="11"/>
        <item x="19"/>
        <item x="2"/>
        <item x="14"/>
        <item x="0"/>
        <item x="12"/>
        <item x="13"/>
        <item x="25"/>
        <item x="1"/>
        <item x="17"/>
        <item x="24"/>
        <item x="3"/>
        <item x="30"/>
        <item x="27"/>
        <item x="9"/>
        <item x="6"/>
        <item x="32"/>
        <item x="26"/>
        <item x="23"/>
        <item x="10"/>
        <item x="15"/>
        <item x="4"/>
        <item x="18"/>
        <item x="7"/>
        <item x="31"/>
        <item x="21"/>
        <item x="5"/>
        <item x="8"/>
        <item x="28"/>
        <item x="16"/>
        <item x="20"/>
        <item x="22"/>
        <item x="29"/>
        <item t="default"/>
      </items>
    </pivotField>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14" showAll="0"/>
    <pivotField numFmtId="165" showAll="0"/>
    <pivotField showAll="0"/>
    <pivotField showAll="0"/>
    <pivotField showAll="0" defaultSubtotal="0"/>
  </pivotFields>
  <rowFields count="2">
    <field x="1"/>
    <field x="2"/>
  </rowFields>
  <rowItems count="44">
    <i>
      <x/>
    </i>
    <i r="1">
      <x/>
    </i>
    <i r="1">
      <x v="1"/>
    </i>
    <i r="1">
      <x v="24"/>
    </i>
    <i>
      <x v="1"/>
    </i>
    <i r="1">
      <x v="8"/>
    </i>
    <i r="1">
      <x v="9"/>
    </i>
    <i>
      <x v="2"/>
    </i>
    <i r="1">
      <x v="10"/>
    </i>
    <i r="1">
      <x v="11"/>
    </i>
    <i r="1">
      <x v="17"/>
    </i>
    <i>
      <x v="3"/>
    </i>
    <i r="1">
      <x v="3"/>
    </i>
    <i r="1">
      <x v="14"/>
    </i>
    <i>
      <x v="4"/>
    </i>
    <i r="1">
      <x v="2"/>
    </i>
    <i r="1">
      <x v="18"/>
    </i>
    <i r="1">
      <x v="19"/>
    </i>
    <i>
      <x v="5"/>
    </i>
    <i r="1">
      <x v="7"/>
    </i>
    <i r="1">
      <x v="15"/>
    </i>
    <i r="1">
      <x v="21"/>
    </i>
    <i>
      <x v="6"/>
    </i>
    <i r="1">
      <x v="4"/>
    </i>
    <i r="1">
      <x v="5"/>
    </i>
    <i r="1">
      <x v="22"/>
    </i>
    <i>
      <x v="7"/>
    </i>
    <i r="1">
      <x v="26"/>
    </i>
    <i r="1">
      <x v="27"/>
    </i>
    <i>
      <x v="8"/>
    </i>
    <i r="1">
      <x v="6"/>
    </i>
    <i r="1">
      <x v="12"/>
    </i>
    <i r="1">
      <x v="13"/>
    </i>
    <i r="1">
      <x v="16"/>
    </i>
    <i r="1">
      <x v="20"/>
    </i>
    <i r="1">
      <x v="23"/>
    </i>
    <i r="1">
      <x v="25"/>
    </i>
    <i r="1">
      <x v="28"/>
    </i>
    <i r="1">
      <x v="29"/>
    </i>
    <i r="1">
      <x v="30"/>
    </i>
    <i r="1">
      <x v="31"/>
    </i>
    <i r="1">
      <x v="32"/>
    </i>
    <i r="1">
      <x v="33"/>
    </i>
    <i t="grand">
      <x/>
    </i>
  </rowItems>
  <colItems count="1">
    <i/>
  </colItems>
  <dataFields count="1">
    <dataField name="Average of Sale_Price" fld="6" subtotal="average"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F8C1EF-C69C-4CA4-83F2-59E5543F320E}" name="Table1" displayName="Table1" ref="A1:Z151" totalsRowShown="0" headerRowDxfId="80" dataDxfId="79">
  <autoFilter ref="A1:Z151" xr:uid="{DDF8C1EF-C69C-4CA4-83F2-59E5543F320E}"/>
  <tableColumns count="26">
    <tableColumn id="1" xr3:uid="{31F4E98D-875E-4681-8CD9-148B41B3A51B}" name="VIN" dataDxfId="78"/>
    <tableColumn id="2" xr3:uid="{C40DC9DF-A0F2-4901-86EF-209C53B35E62}" name="Make" dataDxfId="77"/>
    <tableColumn id="3" xr3:uid="{91E8F143-4A79-4C48-8150-4F8A36C0E3DD}" name="Model" dataDxfId="76"/>
    <tableColumn id="4" xr3:uid="{B8FFA7A5-FA01-4E4D-BC84-B254F9F1D5A4}" name="Vehicle_Category" dataDxfId="75"/>
    <tableColumn id="5" xr3:uid="{2E9E339E-9D11-493F-B741-545CCBED8509}" name="Vehicle_Sub_Category" dataDxfId="74"/>
    <tableColumn id="6" xr3:uid="{4BD2C43A-0372-4EB2-BC74-A328E3C7E83F}" name="Market_Segment" dataDxfId="73"/>
    <tableColumn id="7" xr3:uid="{66673EF5-CF5C-4AE5-96A9-D150A9C32B4E}" name="Sale_Price" dataDxfId="72"/>
    <tableColumn id="8" xr3:uid="{F9472CAC-2880-4FCD-8BB5-91B40ACB7C6D}" name="Sale_Price_Segment" dataDxfId="71"/>
    <tableColumn id="27" xr3:uid="{FC613C9E-3C51-4BA8-AB9B-126D0CD52242}" name="Customer_Name" dataDxfId="70"/>
    <tableColumn id="9" xr3:uid="{B614CA06-14A7-448C-8760-F0429FD9E077}" name="CUSTOMER_First Name" dataDxfId="69"/>
    <tableColumn id="25" xr3:uid="{D616D364-FC53-44F1-95F8-60BA974B92E2}" name="CUSTOMER_Last Name" dataDxfId="68"/>
    <tableColumn id="10" xr3:uid="{EAA1F016-5FAA-4A8D-9CC7-AF3B93C37984}" name="Customer_Email" dataDxfId="67"/>
    <tableColumn id="11" xr3:uid="{2DC846B6-0FF7-4F31-A851-98F88E8EE4BC}" name="Dealer_Name" dataDxfId="66"/>
    <tableColumn id="22" xr3:uid="{94457FFE-8599-4FFA-810F-FE00329CB79E}" name="UNKNOWN_Dealer_Name" dataDxfId="65">
      <calculatedColumnFormula>IF(ISBLANK(Table1[[#This Row],[Dealer_Name]]), "UNKNOWN", Table1[[#This Row],[Dealer_Name]])</calculatedColumnFormula>
    </tableColumn>
    <tableColumn id="12" xr3:uid="{E851F72B-D799-443B-A16A-E9CA4E16AC49}" name="Dealer_Region" dataDxfId="64"/>
    <tableColumn id="13" xr3:uid="{C3A0EDD4-0B3B-4BF5-A702-F9147E5319E3}" name="Fuel_Type" dataDxfId="63"/>
    <tableColumn id="14" xr3:uid="{18D13701-911C-4758-BEFE-F1BC3B252F8D}" name="Engine_Size" dataDxfId="62"/>
    <tableColumn id="23" xr3:uid="{97FC1C94-CC10-4AE0-B86D-1E61A953DFA9}" name="UNKNOWN Engine_Size" dataDxfId="61">
      <calculatedColumnFormula>IF(ISBLANK(Table1[[#This Row],[Engine_Size]]), "UNKNOWN",Table1[[#This Row],[Engine_Size]])</calculatedColumnFormula>
    </tableColumn>
    <tableColumn id="15" xr3:uid="{847E2E11-02D1-467B-8534-86225AED8E28}" name="Color" dataDxfId="60"/>
    <tableColumn id="24" xr3:uid="{2ACD086B-799F-4B27-8F28-E346F56210A0}" name="UNKNOWN Color" dataDxfId="59">
      <calculatedColumnFormula>IF(ISBLANK(Table1[[#This Row],[Color]]), "UNKNOWN", Table1[[#This Row],[Color]])</calculatedColumnFormula>
    </tableColumn>
    <tableColumn id="16" xr3:uid="{D3BDEA4F-A7E6-42EF-940A-EFEE3921DAAE}" name="Mileage" dataDxfId="58"/>
    <tableColumn id="17" xr3:uid="{FD45A9BB-B6FD-4350-8E4D-6AE6BC077BBF}" name="Model_Year" dataDxfId="57"/>
    <tableColumn id="18" xr3:uid="{3B9F8EF8-1F61-4FFD-A2A5-07E20E299801}" name="Sales_Date_A" dataDxfId="56"/>
    <tableColumn id="26" xr3:uid="{3B43BCE8-9287-410F-A5F8-0A992D389C09}" name="CONVERT Sales_Date_A" dataDxfId="55">
      <calculatedColumnFormula>EOMONTH(DATE(LEFT(W2,4), RIGHT(W2,2), 1), 0)</calculatedColumnFormula>
    </tableColumn>
    <tableColumn id="19" xr3:uid="{79918EFD-B4FD-49CD-BC14-6C9C3911FB1E}" name="Sales_Date_Month" dataDxfId="54"/>
    <tableColumn id="20" xr3:uid="{7E69C7E3-CAFA-479D-8AF6-C3CBC0A89839}" name="Quarter" data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B005CE-C93A-4725-8BEF-14D57DE43D3B}" name="Table13" displayName="Table13" ref="A1:Z151" totalsRowShown="0" headerRowDxfId="52" dataDxfId="51">
  <autoFilter ref="A1:Z151" xr:uid="{DDF8C1EF-C69C-4CA4-83F2-59E5543F320E}"/>
  <tableColumns count="26">
    <tableColumn id="1" xr3:uid="{C1B01024-C88A-42CC-BF06-964075D0345A}" name="VIN" dataDxfId="50"/>
    <tableColumn id="2" xr3:uid="{9995CE7D-1FC2-4BBA-BA77-5171AC50B5C8}" name="Make" dataDxfId="49"/>
    <tableColumn id="3" xr3:uid="{9B0D1FD9-3298-4D13-B900-37E45173E75B}" name="Model" dataDxfId="48"/>
    <tableColumn id="4" xr3:uid="{150C081D-A7DB-4910-BA8C-A0A4BFCF0BEE}" name="Vehicle_Category" dataDxfId="47"/>
    <tableColumn id="5" xr3:uid="{8B04FC40-70E9-436C-BA00-04261CC5F2C8}" name="Vehicle_Sub_Category" dataDxfId="46"/>
    <tableColumn id="6" xr3:uid="{2A147388-C52A-4C80-A08D-6D5279187F85}" name="Market_Segment" dataDxfId="45"/>
    <tableColumn id="7" xr3:uid="{20FCF651-52A3-4576-A850-9DCE427A6BB3}" name="Sale_Price" dataDxfId="44"/>
    <tableColumn id="8" xr3:uid="{405D65AF-3758-4D11-8F15-E0F631F418FE}" name="Sale_Price_Segment" dataDxfId="43"/>
    <tableColumn id="27" xr3:uid="{5DCC8AB5-0B45-463F-B111-6F82E5EA0ACE}" name="Customer_Name" dataDxfId="42"/>
    <tableColumn id="9" xr3:uid="{0E6AA584-9B28-4749-A259-E8D1D9F26C3A}" name="CUSTOMER_First Name" dataDxfId="41"/>
    <tableColumn id="25" xr3:uid="{C8B542B8-BE82-4B2F-BFD1-9634831289A9}" name="CUSTOMER_Last Name" dataDxfId="40"/>
    <tableColumn id="10" xr3:uid="{79348220-0E1A-4E65-8FC0-856CE2AE1CEA}" name="Customer_Email" dataDxfId="39"/>
    <tableColumn id="11" xr3:uid="{9BA0CCEC-A25D-4EB8-AC1D-7961325BBE44}" name="Dealer_Name" dataDxfId="38"/>
    <tableColumn id="22" xr3:uid="{B8A24143-3975-4891-8B96-8EB5A089D89E}" name="UNKNOWN_Dealer_Name" dataDxfId="37">
      <calculatedColumnFormula>IF(ISBLANK(Table13[[#This Row],[Dealer_Name]]), "UNKNOWN", Table13[[#This Row],[Dealer_Name]])</calculatedColumnFormula>
    </tableColumn>
    <tableColumn id="12" xr3:uid="{EFECD718-0E98-4AC7-AD19-001A7F2A100C}" name="Dealer_Region" dataDxfId="36"/>
    <tableColumn id="13" xr3:uid="{FC34D500-2893-4609-A3F7-33BFD6B9BC9E}" name="Fuel_Type" dataDxfId="35"/>
    <tableColumn id="14" xr3:uid="{CDABC4AA-ADDD-482B-B3E2-B2623C27965F}" name="Engine_Size" dataDxfId="34"/>
    <tableColumn id="23" xr3:uid="{E3A4A46F-15A6-409F-B072-B2D8CBA5E011}" name="UNKNOWN Engine_Size" dataDxfId="33">
      <calculatedColumnFormula>IF(ISBLANK(Table13[[#This Row],[Engine_Size]]), "UNKNOWN",Table13[[#This Row],[Engine_Size]])</calculatedColumnFormula>
    </tableColumn>
    <tableColumn id="15" xr3:uid="{E4C7236D-419D-47DF-987A-F4ABB092E097}" name="Color" dataDxfId="32"/>
    <tableColumn id="24" xr3:uid="{E9D3228F-AC19-4085-A88D-6545C8D7D6C9}" name="UNKNOWN Color" dataDxfId="31">
      <calculatedColumnFormula>IF(ISBLANK(Table13[[#This Row],[Color]]), "UNKNOWN", Table13[[#This Row],[Color]])</calculatedColumnFormula>
    </tableColumn>
    <tableColumn id="16" xr3:uid="{AEDF0636-5D20-4115-9D74-D807193FB2AC}" name="Mileage" dataDxfId="30"/>
    <tableColumn id="17" xr3:uid="{F36D0A72-19FB-4484-AC6F-2FA27AD66F71}" name="Model_Year" dataDxfId="29"/>
    <tableColumn id="18" xr3:uid="{F6FC3F46-C681-49FF-B8A7-03F93D8DF9E7}" name="Sales_Date_A" dataDxfId="28"/>
    <tableColumn id="26" xr3:uid="{C1A9C14C-0D6D-46D4-817B-02DA03B6CE18}" name="CONVERT Sales_Date_A" dataDxfId="27">
      <calculatedColumnFormula>EOMONTH(DATE(LEFT(W2,4), RIGHT(W2,2), 1), 0)</calculatedColumnFormula>
    </tableColumn>
    <tableColumn id="19" xr3:uid="{480E21E9-E41F-47F3-8DC5-BC9270305043}" name="Sales_Date_Month" dataDxfId="26"/>
    <tableColumn id="20" xr3:uid="{D4E69FA4-59E0-4DED-AFE7-91825F24ECAB}" name="Quarter" dataDxfId="2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212477-C635-B440-B7AE-6E108888B5B8}" name="Table3" displayName="Table3" ref="A1:X151" totalsRowShown="0" dataDxfId="0">
  <autoFilter ref="A1:X151" xr:uid="{54AE5F11-103C-44BD-BA59-11D830555BB6}"/>
  <tableColumns count="24">
    <tableColumn id="1" xr3:uid="{68F0DDE6-4673-7E4E-9917-497C40891BA6}" name="VIN" dataDxfId="24"/>
    <tableColumn id="2" xr3:uid="{6CBDCB36-1E63-F547-A770-241E83BE7715}" name="Make" dataDxfId="23"/>
    <tableColumn id="3" xr3:uid="{2C4E32B4-742F-C44A-BBFF-52D9DC0EBC02}" name="Model" dataDxfId="22"/>
    <tableColumn id="4" xr3:uid="{FDFACDBF-A772-2745-B09A-96AFBDD4A9D8}" name="Vehicle_Category" dataDxfId="21"/>
    <tableColumn id="5" xr3:uid="{A52FBFF8-57F9-CC41-8926-8328EEB1A998}" name="Vehicle_Sub_Category" dataDxfId="20"/>
    <tableColumn id="6" xr3:uid="{4543F6A9-E43C-1A45-A0B3-E0AC939496D5}" name="Market_Segment" dataDxfId="19"/>
    <tableColumn id="7" xr3:uid="{DF3F945D-EDD9-E246-8CCF-970BDF790F70}" name="Sale_Price" dataDxfId="18"/>
    <tableColumn id="8" xr3:uid="{19730A61-C4C4-C343-B641-E22C8FF44270}" name="Sale_Price_Segment" dataDxfId="17"/>
    <tableColumn id="9" xr3:uid="{40B2A632-3849-E244-B20A-728E9490E317}" name="Customer_Name" dataDxfId="16"/>
    <tableColumn id="10" xr3:uid="{DE12390A-E888-9A42-8A77-EFC51432C635}" name="CUSTOMER_First Name" dataDxfId="15"/>
    <tableColumn id="11" xr3:uid="{025465E6-76B2-434B-AD5C-63E0CE6C0ECB}" name="CUSTOMER_Last Name" dataDxfId="14"/>
    <tableColumn id="12" xr3:uid="{D91A1698-234F-8944-9A48-E33EA9FADEA4}" name="Customer_Email" dataDxfId="13"/>
    <tableColumn id="13" xr3:uid="{FD42A3F1-7D0B-424F-BBBC-33DAD8DF81BD}" name="Dealer_Name" dataDxfId="12"/>
    <tableColumn id="14" xr3:uid="{9EDE1390-6CD5-DC4C-8DB0-D500BDDE6623}" name="UNKNOWN_Dealer_Name" dataDxfId="11"/>
    <tableColumn id="15" xr3:uid="{27B8C56A-0AB5-BF4E-8355-D4CA178872F8}" name="Dealer_Region" dataDxfId="10"/>
    <tableColumn id="16" xr3:uid="{6DF57131-DE96-D240-987E-E5D1EFAD4397}" name="Fuel_Type" dataDxfId="9"/>
    <tableColumn id="17" xr3:uid="{7492ED0D-BEB9-C84F-9668-B4D83ACFDF13}" name="UNKNOWN Engine_Size" dataDxfId="8"/>
    <tableColumn id="18" xr3:uid="{2384EBBA-BE63-0E45-8E26-05D24ACF89EF}" name="UNKNOWN Color" dataDxfId="7"/>
    <tableColumn id="19" xr3:uid="{68A1EEA7-1FA6-E34E-ADE7-DA6A743CF456}" name="Mileage" dataDxfId="6"/>
    <tableColumn id="20" xr3:uid="{D7B07EF4-AF38-694E-8358-10DB509AE552}" name="Model_Year" dataDxfId="5"/>
    <tableColumn id="21" xr3:uid="{31283C64-37CA-F14A-A9C2-CE30B9A51008}" name="Sales_Date_A" dataDxfId="4"/>
    <tableColumn id="22" xr3:uid="{F98BA4F0-14B5-324E-BDE4-DC260D03A39D}" name="CONVERT Sales_Date_A" dataDxfId="3"/>
    <tableColumn id="23" xr3:uid="{FD445F53-BA2C-F347-9C96-CFE16C139DBE}" name="Sales_Date_Month" dataDxfId="2"/>
    <tableColumn id="24" xr3:uid="{31D0A847-CAA7-0044-BF49-E54028C17B6E}" name="Quarter"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5650-4DB9-4C32-BD94-61893649784A}">
  <dimension ref="A1:T151"/>
  <sheetViews>
    <sheetView workbookViewId="0">
      <selection activeCell="I1" sqref="I1"/>
    </sheetView>
  </sheetViews>
  <sheetFormatPr baseColWidth="10" defaultColWidth="8.83203125" defaultRowHeight="13" x14ac:dyDescent="0.15"/>
  <sheetData>
    <row r="1" spans="1:20"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15">
      <c r="A2" s="1" t="s">
        <v>20</v>
      </c>
      <c r="B2" s="1" t="s">
        <v>21</v>
      </c>
      <c r="C2" s="1" t="s">
        <v>22</v>
      </c>
      <c r="D2" s="1" t="s">
        <v>23</v>
      </c>
      <c r="E2" s="1" t="s">
        <v>24</v>
      </c>
      <c r="F2" s="1" t="s">
        <v>25</v>
      </c>
      <c r="G2" s="1">
        <v>24500</v>
      </c>
      <c r="H2" s="1" t="s">
        <v>26</v>
      </c>
      <c r="I2" s="1" t="s">
        <v>27</v>
      </c>
      <c r="J2" s="1" t="s">
        <v>28</v>
      </c>
      <c r="K2" s="1" t="s">
        <v>29</v>
      </c>
      <c r="L2" s="1" t="s">
        <v>30</v>
      </c>
      <c r="M2" s="1" t="s">
        <v>31</v>
      </c>
      <c r="N2" s="1" t="s">
        <v>32</v>
      </c>
      <c r="O2" s="1" t="s">
        <v>33</v>
      </c>
      <c r="P2" s="1">
        <v>8500</v>
      </c>
      <c r="Q2" s="1">
        <v>2021</v>
      </c>
      <c r="R2" s="1">
        <v>202401</v>
      </c>
      <c r="S2" s="1" t="s">
        <v>34</v>
      </c>
      <c r="T2" s="1" t="s">
        <v>35</v>
      </c>
    </row>
    <row r="3" spans="1:20" x14ac:dyDescent="0.15">
      <c r="A3" s="1" t="s">
        <v>36</v>
      </c>
      <c r="B3" s="1" t="s">
        <v>21</v>
      </c>
      <c r="C3" s="1" t="s">
        <v>37</v>
      </c>
      <c r="D3" s="1" t="s">
        <v>38</v>
      </c>
      <c r="E3" s="1" t="s">
        <v>39</v>
      </c>
      <c r="F3" s="1" t="s">
        <v>40</v>
      </c>
      <c r="G3" s="1">
        <v>27000</v>
      </c>
      <c r="H3" s="1" t="s">
        <v>41</v>
      </c>
      <c r="I3" s="1" t="s">
        <v>42</v>
      </c>
      <c r="J3" s="1" t="s">
        <v>43</v>
      </c>
      <c r="K3" s="1" t="s">
        <v>44</v>
      </c>
      <c r="L3" s="1" t="s">
        <v>30</v>
      </c>
      <c r="M3" s="1" t="s">
        <v>31</v>
      </c>
      <c r="N3" s="1" t="s">
        <v>45</v>
      </c>
      <c r="O3" s="1" t="s">
        <v>46</v>
      </c>
      <c r="P3" s="1">
        <v>28000</v>
      </c>
      <c r="Q3" s="1">
        <v>2019</v>
      </c>
      <c r="R3" s="1">
        <v>202402</v>
      </c>
      <c r="S3" s="1" t="s">
        <v>47</v>
      </c>
      <c r="T3" s="1" t="s">
        <v>35</v>
      </c>
    </row>
    <row r="4" spans="1:20" x14ac:dyDescent="0.15">
      <c r="A4" s="1" t="s">
        <v>48</v>
      </c>
      <c r="B4" s="1" t="s">
        <v>21</v>
      </c>
      <c r="C4" s="1" t="s">
        <v>22</v>
      </c>
      <c r="D4" s="1" t="s">
        <v>23</v>
      </c>
      <c r="E4" s="1" t="s">
        <v>24</v>
      </c>
      <c r="F4" s="1" t="s">
        <v>25</v>
      </c>
      <c r="G4" s="1">
        <v>22000</v>
      </c>
      <c r="H4" s="1" t="s">
        <v>26</v>
      </c>
      <c r="I4" s="1" t="s">
        <v>49</v>
      </c>
      <c r="J4" s="1" t="s">
        <v>50</v>
      </c>
      <c r="K4" s="1" t="s">
        <v>51</v>
      </c>
      <c r="L4" s="1" t="s">
        <v>52</v>
      </c>
      <c r="M4" s="1" t="s">
        <v>31</v>
      </c>
      <c r="N4" s="1" t="s">
        <v>53</v>
      </c>
      <c r="O4" s="1" t="s">
        <v>54</v>
      </c>
      <c r="P4" s="1">
        <v>19000</v>
      </c>
      <c r="Q4" s="1">
        <v>2021</v>
      </c>
      <c r="R4" s="1">
        <v>202403</v>
      </c>
      <c r="S4" s="1" t="s">
        <v>55</v>
      </c>
      <c r="T4" s="1" t="s">
        <v>35</v>
      </c>
    </row>
    <row r="5" spans="1:20" x14ac:dyDescent="0.15">
      <c r="A5" s="1" t="s">
        <v>56</v>
      </c>
      <c r="B5" s="1" t="s">
        <v>21</v>
      </c>
      <c r="C5" s="1" t="s">
        <v>22</v>
      </c>
      <c r="D5" s="1" t="s">
        <v>23</v>
      </c>
      <c r="E5" s="1" t="s">
        <v>24</v>
      </c>
      <c r="F5" s="1" t="s">
        <v>25</v>
      </c>
      <c r="G5" s="1">
        <v>22000</v>
      </c>
      <c r="H5" s="1" t="s">
        <v>26</v>
      </c>
      <c r="I5" s="1" t="s">
        <v>49</v>
      </c>
      <c r="J5" s="1" t="s">
        <v>50</v>
      </c>
      <c r="K5" s="1" t="s">
        <v>51</v>
      </c>
      <c r="L5" s="1" t="s">
        <v>52</v>
      </c>
      <c r="M5" s="1" t="s">
        <v>31</v>
      </c>
      <c r="N5" s="1" t="s">
        <v>53</v>
      </c>
      <c r="O5" s="1" t="s">
        <v>54</v>
      </c>
      <c r="P5" s="1">
        <v>19000</v>
      </c>
      <c r="Q5" s="1">
        <v>2021</v>
      </c>
      <c r="R5" s="1">
        <v>202403</v>
      </c>
      <c r="S5" s="1" t="s">
        <v>55</v>
      </c>
      <c r="T5" s="1" t="s">
        <v>35</v>
      </c>
    </row>
    <row r="6" spans="1:20" x14ac:dyDescent="0.15">
      <c r="A6" s="1" t="s">
        <v>57</v>
      </c>
      <c r="B6" s="1" t="s">
        <v>21</v>
      </c>
      <c r="C6" s="1" t="s">
        <v>22</v>
      </c>
      <c r="D6" s="1" t="s">
        <v>23</v>
      </c>
      <c r="E6" s="1" t="s">
        <v>24</v>
      </c>
      <c r="F6" s="1" t="s">
        <v>25</v>
      </c>
      <c r="G6" s="1">
        <v>22000</v>
      </c>
      <c r="H6" s="1" t="s">
        <v>26</v>
      </c>
      <c r="I6" s="1" t="s">
        <v>58</v>
      </c>
      <c r="J6" s="1" t="s">
        <v>59</v>
      </c>
      <c r="K6" s="1" t="s">
        <v>29</v>
      </c>
      <c r="L6" s="1" t="s">
        <v>30</v>
      </c>
      <c r="M6" s="1" t="s">
        <v>39</v>
      </c>
      <c r="N6" s="1" t="s">
        <v>60</v>
      </c>
      <c r="O6" s="1" t="s">
        <v>61</v>
      </c>
      <c r="P6" s="1">
        <v>14000</v>
      </c>
      <c r="Q6" s="1">
        <v>2022</v>
      </c>
      <c r="R6" s="1">
        <v>202403</v>
      </c>
      <c r="S6" s="1" t="s">
        <v>55</v>
      </c>
      <c r="T6" s="1" t="s">
        <v>35</v>
      </c>
    </row>
    <row r="7" spans="1:20" x14ac:dyDescent="0.15">
      <c r="A7" s="1" t="s">
        <v>62</v>
      </c>
      <c r="B7" s="1" t="s">
        <v>21</v>
      </c>
      <c r="C7" s="1" t="s">
        <v>63</v>
      </c>
      <c r="D7" s="1" t="s">
        <v>23</v>
      </c>
      <c r="E7" s="1" t="s">
        <v>64</v>
      </c>
      <c r="F7" s="1" t="s">
        <v>25</v>
      </c>
      <c r="G7" s="1">
        <v>28000</v>
      </c>
      <c r="H7" s="1" t="s">
        <v>41</v>
      </c>
      <c r="I7" s="1" t="s">
        <v>65</v>
      </c>
      <c r="J7" s="1" t="s">
        <v>66</v>
      </c>
      <c r="K7" s="1" t="s">
        <v>67</v>
      </c>
      <c r="L7" s="1" t="s">
        <v>68</v>
      </c>
      <c r="M7" s="1" t="s">
        <v>31</v>
      </c>
      <c r="N7" s="1" t="s">
        <v>69</v>
      </c>
      <c r="O7" s="1" t="s">
        <v>70</v>
      </c>
      <c r="P7" s="1">
        <v>21000</v>
      </c>
      <c r="Q7" s="1">
        <v>2021</v>
      </c>
      <c r="R7" s="1">
        <v>202403</v>
      </c>
      <c r="S7" s="1" t="s">
        <v>55</v>
      </c>
      <c r="T7" s="1" t="s">
        <v>35</v>
      </c>
    </row>
    <row r="8" spans="1:20" x14ac:dyDescent="0.15">
      <c r="A8" s="1" t="s">
        <v>71</v>
      </c>
      <c r="B8" s="1" t="s">
        <v>21</v>
      </c>
      <c r="C8" s="1" t="s">
        <v>72</v>
      </c>
      <c r="D8" s="1" t="s">
        <v>23</v>
      </c>
      <c r="E8" s="1" t="s">
        <v>73</v>
      </c>
      <c r="F8" s="1" t="s">
        <v>25</v>
      </c>
      <c r="G8" s="1">
        <v>39500</v>
      </c>
      <c r="H8" s="1" t="s">
        <v>41</v>
      </c>
      <c r="I8" s="1" t="s">
        <v>74</v>
      </c>
      <c r="J8" s="1" t="s">
        <v>75</v>
      </c>
      <c r="K8" s="1" t="s">
        <v>76</v>
      </c>
      <c r="L8" s="1" t="s">
        <v>30</v>
      </c>
      <c r="M8" s="1" t="s">
        <v>31</v>
      </c>
      <c r="N8" s="1" t="s">
        <v>77</v>
      </c>
      <c r="O8" s="1" t="s">
        <v>46</v>
      </c>
      <c r="P8" s="1">
        <v>17000</v>
      </c>
      <c r="Q8" s="1">
        <v>2021</v>
      </c>
      <c r="R8" s="1">
        <v>202407</v>
      </c>
      <c r="S8" s="1" t="s">
        <v>78</v>
      </c>
      <c r="T8" s="1" t="s">
        <v>79</v>
      </c>
    </row>
    <row r="9" spans="1:20" x14ac:dyDescent="0.15">
      <c r="A9" s="1" t="s">
        <v>80</v>
      </c>
      <c r="B9" s="1" t="s">
        <v>21</v>
      </c>
      <c r="C9" s="1" t="s">
        <v>37</v>
      </c>
      <c r="D9" s="1" t="s">
        <v>38</v>
      </c>
      <c r="E9" s="1" t="s">
        <v>81</v>
      </c>
      <c r="F9" s="1" t="s">
        <v>40</v>
      </c>
      <c r="G9" s="1">
        <v>27000</v>
      </c>
      <c r="H9" s="1" t="s">
        <v>41</v>
      </c>
      <c r="I9" s="1" t="s">
        <v>82</v>
      </c>
      <c r="J9" s="1" t="s">
        <v>83</v>
      </c>
      <c r="K9" s="1" t="s">
        <v>84</v>
      </c>
      <c r="L9" s="1" t="s">
        <v>85</v>
      </c>
      <c r="M9" s="1" t="s">
        <v>31</v>
      </c>
      <c r="N9" s="1" t="s">
        <v>86</v>
      </c>
      <c r="O9" s="1" t="s">
        <v>87</v>
      </c>
      <c r="P9" s="1">
        <v>11000</v>
      </c>
      <c r="Q9" s="1">
        <v>2023</v>
      </c>
      <c r="R9" s="1">
        <v>202407</v>
      </c>
      <c r="S9" s="1" t="s">
        <v>78</v>
      </c>
      <c r="T9" s="1" t="s">
        <v>79</v>
      </c>
    </row>
    <row r="10" spans="1:20" x14ac:dyDescent="0.15">
      <c r="A10" s="1" t="s">
        <v>88</v>
      </c>
      <c r="B10" s="1" t="s">
        <v>21</v>
      </c>
      <c r="C10" s="1" t="s">
        <v>89</v>
      </c>
      <c r="D10" s="1" t="s">
        <v>90</v>
      </c>
      <c r="E10" s="1" t="s">
        <v>91</v>
      </c>
      <c r="F10" s="1" t="s">
        <v>25</v>
      </c>
      <c r="G10" s="1">
        <v>56900</v>
      </c>
      <c r="H10" s="1" t="s">
        <v>92</v>
      </c>
      <c r="I10" s="1" t="s">
        <v>93</v>
      </c>
      <c r="J10" s="1" t="s">
        <v>94</v>
      </c>
      <c r="K10" s="1" t="s">
        <v>29</v>
      </c>
      <c r="L10" s="1" t="s">
        <v>30</v>
      </c>
      <c r="M10" s="1" t="s">
        <v>31</v>
      </c>
      <c r="N10" s="1" t="s">
        <v>95</v>
      </c>
      <c r="O10" s="1" t="s">
        <v>46</v>
      </c>
      <c r="P10" s="1">
        <v>28000</v>
      </c>
      <c r="Q10" s="1">
        <v>2019</v>
      </c>
      <c r="R10" s="1">
        <v>202407</v>
      </c>
      <c r="S10" s="1" t="s">
        <v>78</v>
      </c>
      <c r="T10" s="1" t="s">
        <v>79</v>
      </c>
    </row>
    <row r="11" spans="1:20" x14ac:dyDescent="0.15">
      <c r="A11" s="1" t="s">
        <v>96</v>
      </c>
      <c r="B11" s="1" t="s">
        <v>21</v>
      </c>
      <c r="C11" s="1" t="s">
        <v>22</v>
      </c>
      <c r="D11" s="1" t="s">
        <v>23</v>
      </c>
      <c r="E11" s="1" t="s">
        <v>24</v>
      </c>
      <c r="F11" s="1" t="s">
        <v>25</v>
      </c>
      <c r="G11" s="1">
        <v>22000</v>
      </c>
      <c r="H11" s="1" t="s">
        <v>26</v>
      </c>
      <c r="I11" s="1" t="s">
        <v>97</v>
      </c>
      <c r="J11" s="1" t="s">
        <v>98</v>
      </c>
      <c r="K11" s="1" t="s">
        <v>99</v>
      </c>
      <c r="L11" s="1" t="s">
        <v>68</v>
      </c>
      <c r="M11" s="1" t="s">
        <v>31</v>
      </c>
      <c r="N11" s="1" t="s">
        <v>100</v>
      </c>
      <c r="O11" s="1" t="s">
        <v>101</v>
      </c>
      <c r="P11" s="1">
        <v>25000</v>
      </c>
      <c r="Q11" s="1">
        <v>2020</v>
      </c>
      <c r="R11" s="1">
        <v>202407</v>
      </c>
      <c r="S11" s="1" t="s">
        <v>78</v>
      </c>
      <c r="T11" s="1" t="s">
        <v>79</v>
      </c>
    </row>
    <row r="12" spans="1:20" x14ac:dyDescent="0.15">
      <c r="A12" s="1" t="s">
        <v>102</v>
      </c>
      <c r="B12" s="1" t="s">
        <v>21</v>
      </c>
      <c r="C12" s="1" t="s">
        <v>103</v>
      </c>
      <c r="D12" s="1" t="s">
        <v>104</v>
      </c>
      <c r="E12" s="1" t="s">
        <v>105</v>
      </c>
      <c r="F12" s="1" t="s">
        <v>25</v>
      </c>
      <c r="G12" s="1">
        <v>32000</v>
      </c>
      <c r="H12" s="1" t="s">
        <v>41</v>
      </c>
      <c r="I12" s="1" t="s">
        <v>106</v>
      </c>
      <c r="J12" s="1" t="s">
        <v>107</v>
      </c>
      <c r="K12" s="1" t="s">
        <v>51</v>
      </c>
      <c r="L12" s="1" t="s">
        <v>52</v>
      </c>
      <c r="M12" s="1" t="s">
        <v>31</v>
      </c>
      <c r="N12" s="1" t="s">
        <v>77</v>
      </c>
      <c r="O12" s="1" t="s">
        <v>54</v>
      </c>
      <c r="P12" s="1">
        <v>22000</v>
      </c>
      <c r="Q12" s="1">
        <v>2021</v>
      </c>
      <c r="R12" s="1">
        <v>202408</v>
      </c>
      <c r="S12" s="1" t="s">
        <v>108</v>
      </c>
      <c r="T12" s="1" t="s">
        <v>79</v>
      </c>
    </row>
    <row r="13" spans="1:20" x14ac:dyDescent="0.15">
      <c r="A13" s="1" t="s">
        <v>109</v>
      </c>
      <c r="B13" s="1" t="s">
        <v>21</v>
      </c>
      <c r="C13" s="1" t="s">
        <v>110</v>
      </c>
      <c r="D13" s="1" t="s">
        <v>90</v>
      </c>
      <c r="E13" s="1" t="s">
        <v>105</v>
      </c>
      <c r="F13" s="1" t="s">
        <v>111</v>
      </c>
      <c r="G13" s="1">
        <v>43000</v>
      </c>
      <c r="H13" s="1" t="s">
        <v>92</v>
      </c>
      <c r="I13" s="1" t="s">
        <v>112</v>
      </c>
      <c r="J13" s="1" t="s">
        <v>113</v>
      </c>
      <c r="K13" s="1" t="s">
        <v>29</v>
      </c>
      <c r="L13" s="1" t="s">
        <v>30</v>
      </c>
      <c r="M13" s="1" t="s">
        <v>39</v>
      </c>
      <c r="N13" s="1" t="s">
        <v>60</v>
      </c>
      <c r="O13" s="1" t="s">
        <v>33</v>
      </c>
      <c r="P13" s="1">
        <v>15000</v>
      </c>
      <c r="Q13" s="1">
        <v>2022</v>
      </c>
      <c r="R13" s="1">
        <v>202408</v>
      </c>
      <c r="S13" s="1" t="s">
        <v>108</v>
      </c>
      <c r="T13" s="1" t="s">
        <v>79</v>
      </c>
    </row>
    <row r="14" spans="1:20" x14ac:dyDescent="0.15">
      <c r="A14" s="1" t="s">
        <v>114</v>
      </c>
      <c r="B14" s="1" t="s">
        <v>21</v>
      </c>
      <c r="C14" s="1" t="s">
        <v>115</v>
      </c>
      <c r="D14" s="1" t="s">
        <v>23</v>
      </c>
      <c r="E14" s="1" t="s">
        <v>73</v>
      </c>
      <c r="F14" s="1" t="s">
        <v>25</v>
      </c>
      <c r="G14" s="1">
        <v>58500</v>
      </c>
      <c r="H14" s="1" t="s">
        <v>92</v>
      </c>
      <c r="I14" s="1" t="s">
        <v>116</v>
      </c>
      <c r="J14" s="1" t="s">
        <v>117</v>
      </c>
      <c r="K14" s="1" t="s">
        <v>44</v>
      </c>
      <c r="L14" s="1" t="s">
        <v>30</v>
      </c>
      <c r="M14" s="1" t="s">
        <v>118</v>
      </c>
      <c r="O14" s="1" t="s">
        <v>61</v>
      </c>
      <c r="P14" s="1">
        <v>27000</v>
      </c>
      <c r="Q14" s="1">
        <v>2019</v>
      </c>
      <c r="R14" s="1">
        <v>202408</v>
      </c>
      <c r="S14" s="1" t="s">
        <v>108</v>
      </c>
      <c r="T14" s="1" t="s">
        <v>79</v>
      </c>
    </row>
    <row r="15" spans="1:20" x14ac:dyDescent="0.15">
      <c r="A15" s="1" t="s">
        <v>119</v>
      </c>
      <c r="B15" s="1" t="s">
        <v>21</v>
      </c>
      <c r="C15" s="1" t="s">
        <v>120</v>
      </c>
      <c r="D15" s="1" t="s">
        <v>90</v>
      </c>
      <c r="E15" s="1" t="s">
        <v>91</v>
      </c>
      <c r="F15" s="1" t="s">
        <v>25</v>
      </c>
      <c r="G15" s="1">
        <v>31500</v>
      </c>
      <c r="H15" s="1" t="s">
        <v>41</v>
      </c>
      <c r="I15" s="1" t="s">
        <v>121</v>
      </c>
      <c r="J15" s="1" t="s">
        <v>122</v>
      </c>
      <c r="K15" s="1" t="s">
        <v>29</v>
      </c>
      <c r="L15" s="1" t="s">
        <v>30</v>
      </c>
      <c r="M15" s="1" t="s">
        <v>31</v>
      </c>
      <c r="N15" s="1" t="s">
        <v>123</v>
      </c>
      <c r="O15" s="1" t="s">
        <v>124</v>
      </c>
      <c r="P15" s="1">
        <v>40000</v>
      </c>
      <c r="Q15" s="1">
        <v>2017</v>
      </c>
      <c r="R15" s="1">
        <v>202408</v>
      </c>
      <c r="S15" s="1" t="s">
        <v>108</v>
      </c>
      <c r="T15" s="1" t="s">
        <v>79</v>
      </c>
    </row>
    <row r="16" spans="1:20" x14ac:dyDescent="0.15">
      <c r="A16" s="1" t="s">
        <v>125</v>
      </c>
      <c r="B16" s="1" t="s">
        <v>21</v>
      </c>
      <c r="C16" s="1" t="s">
        <v>110</v>
      </c>
      <c r="D16" s="1" t="s">
        <v>90</v>
      </c>
      <c r="E16" s="1" t="s">
        <v>105</v>
      </c>
      <c r="F16" s="1" t="s">
        <v>111</v>
      </c>
      <c r="G16" s="1">
        <v>43000</v>
      </c>
      <c r="H16" s="1" t="s">
        <v>92</v>
      </c>
      <c r="I16" s="1" t="s">
        <v>126</v>
      </c>
      <c r="J16" s="1" t="s">
        <v>127</v>
      </c>
      <c r="K16" s="1" t="s">
        <v>44</v>
      </c>
      <c r="L16" s="1" t="s">
        <v>30</v>
      </c>
      <c r="M16" s="1" t="s">
        <v>31</v>
      </c>
      <c r="N16" s="1" t="s">
        <v>128</v>
      </c>
      <c r="O16" s="1" t="s">
        <v>46</v>
      </c>
      <c r="P16" s="1">
        <v>42000</v>
      </c>
      <c r="Q16" s="1">
        <v>2017</v>
      </c>
      <c r="R16" s="1">
        <v>202408</v>
      </c>
      <c r="S16" s="1" t="s">
        <v>108</v>
      </c>
      <c r="T16" s="1" t="s">
        <v>79</v>
      </c>
    </row>
    <row r="17" spans="1:20" x14ac:dyDescent="0.15">
      <c r="A17" s="1" t="s">
        <v>129</v>
      </c>
      <c r="B17" s="1" t="s">
        <v>21</v>
      </c>
      <c r="C17" s="1" t="s">
        <v>130</v>
      </c>
      <c r="D17" s="1" t="s">
        <v>90</v>
      </c>
      <c r="E17" s="1" t="s">
        <v>91</v>
      </c>
      <c r="F17" s="1" t="s">
        <v>25</v>
      </c>
      <c r="G17" s="1">
        <v>35800</v>
      </c>
      <c r="H17" s="1" t="s">
        <v>41</v>
      </c>
      <c r="I17" s="1" t="s">
        <v>131</v>
      </c>
      <c r="J17" s="1" t="s">
        <v>132</v>
      </c>
      <c r="K17" s="1" t="s">
        <v>29</v>
      </c>
      <c r="L17" s="1" t="s">
        <v>30</v>
      </c>
      <c r="M17" s="1" t="s">
        <v>31</v>
      </c>
      <c r="N17" s="1" t="s">
        <v>133</v>
      </c>
      <c r="O17" s="1" t="s">
        <v>54</v>
      </c>
      <c r="P17" s="1">
        <v>24000</v>
      </c>
      <c r="Q17" s="1">
        <v>2020</v>
      </c>
      <c r="R17" s="1">
        <v>202409</v>
      </c>
      <c r="S17" s="1" t="s">
        <v>134</v>
      </c>
      <c r="T17" s="1" t="s">
        <v>79</v>
      </c>
    </row>
    <row r="18" spans="1:20" x14ac:dyDescent="0.15">
      <c r="A18" s="1" t="s">
        <v>135</v>
      </c>
      <c r="B18" s="1" t="s">
        <v>21</v>
      </c>
      <c r="C18" s="1" t="s">
        <v>37</v>
      </c>
      <c r="D18" s="1" t="s">
        <v>38</v>
      </c>
      <c r="E18" s="1" t="s">
        <v>81</v>
      </c>
      <c r="F18" s="1" t="s">
        <v>40</v>
      </c>
      <c r="G18" s="1">
        <v>27000</v>
      </c>
      <c r="H18" s="1" t="s">
        <v>41</v>
      </c>
      <c r="I18" s="1" t="s">
        <v>136</v>
      </c>
      <c r="J18" s="1" t="s">
        <v>137</v>
      </c>
      <c r="K18" s="1" t="s">
        <v>138</v>
      </c>
      <c r="L18" s="1" t="s">
        <v>30</v>
      </c>
      <c r="M18" s="1" t="s">
        <v>31</v>
      </c>
      <c r="N18" s="1" t="s">
        <v>45</v>
      </c>
      <c r="O18" s="1" t="s">
        <v>61</v>
      </c>
      <c r="P18" s="1">
        <v>31000</v>
      </c>
      <c r="Q18" s="1">
        <v>2019</v>
      </c>
      <c r="R18" s="1">
        <v>202409</v>
      </c>
      <c r="S18" s="1" t="s">
        <v>134</v>
      </c>
      <c r="T18" s="1" t="s">
        <v>79</v>
      </c>
    </row>
    <row r="19" spans="1:20" x14ac:dyDescent="0.15">
      <c r="A19" s="1" t="s">
        <v>139</v>
      </c>
      <c r="B19" s="1" t="s">
        <v>21</v>
      </c>
      <c r="C19" s="1" t="s">
        <v>110</v>
      </c>
      <c r="D19" s="1" t="s">
        <v>90</v>
      </c>
      <c r="E19" s="1" t="s">
        <v>105</v>
      </c>
      <c r="F19" s="1" t="s">
        <v>111</v>
      </c>
      <c r="G19" s="1">
        <v>43000</v>
      </c>
      <c r="H19" s="1" t="s">
        <v>92</v>
      </c>
      <c r="I19" s="1" t="s">
        <v>140</v>
      </c>
      <c r="J19" s="1" t="s">
        <v>141</v>
      </c>
      <c r="K19" s="1" t="s">
        <v>142</v>
      </c>
      <c r="L19" s="1" t="s">
        <v>85</v>
      </c>
      <c r="M19" s="1" t="s">
        <v>31</v>
      </c>
      <c r="N19" s="1" t="s">
        <v>45</v>
      </c>
      <c r="O19" s="1" t="s">
        <v>143</v>
      </c>
      <c r="P19" s="1">
        <v>34000</v>
      </c>
      <c r="Q19" s="1">
        <v>2018</v>
      </c>
      <c r="R19" s="1">
        <v>202409</v>
      </c>
      <c r="S19" s="1" t="s">
        <v>134</v>
      </c>
      <c r="T19" s="1" t="s">
        <v>79</v>
      </c>
    </row>
    <row r="20" spans="1:20" x14ac:dyDescent="0.15">
      <c r="A20" s="1" t="s">
        <v>144</v>
      </c>
      <c r="B20" s="1" t="s">
        <v>21</v>
      </c>
      <c r="C20" s="1" t="s">
        <v>110</v>
      </c>
      <c r="D20" s="1" t="s">
        <v>104</v>
      </c>
      <c r="E20" s="1" t="s">
        <v>105</v>
      </c>
      <c r="F20" s="1" t="s">
        <v>111</v>
      </c>
      <c r="G20" s="1">
        <v>43000</v>
      </c>
      <c r="H20" s="1" t="s">
        <v>92</v>
      </c>
      <c r="I20" s="1" t="s">
        <v>145</v>
      </c>
      <c r="J20" s="1" t="s">
        <v>146</v>
      </c>
      <c r="K20" s="1" t="s">
        <v>147</v>
      </c>
      <c r="L20" s="1" t="s">
        <v>52</v>
      </c>
      <c r="M20" s="1" t="s">
        <v>31</v>
      </c>
      <c r="N20" s="1" t="s">
        <v>53</v>
      </c>
      <c r="O20" s="1" t="s">
        <v>61</v>
      </c>
      <c r="P20" s="1">
        <v>21000</v>
      </c>
      <c r="Q20" s="1">
        <v>2021</v>
      </c>
      <c r="R20" s="1">
        <v>202409</v>
      </c>
      <c r="S20" s="1" t="s">
        <v>134</v>
      </c>
      <c r="T20" s="1" t="s">
        <v>79</v>
      </c>
    </row>
    <row r="21" spans="1:20" x14ac:dyDescent="0.15">
      <c r="A21" s="1" t="s">
        <v>148</v>
      </c>
      <c r="B21" s="1" t="s">
        <v>21</v>
      </c>
      <c r="C21" s="1" t="s">
        <v>149</v>
      </c>
      <c r="D21" s="1" t="s">
        <v>23</v>
      </c>
      <c r="E21" s="1" t="s">
        <v>24</v>
      </c>
      <c r="F21" s="1" t="s">
        <v>25</v>
      </c>
      <c r="G21" s="1">
        <v>18500</v>
      </c>
      <c r="H21" s="1" t="s">
        <v>26</v>
      </c>
      <c r="I21" s="1" t="s">
        <v>150</v>
      </c>
      <c r="J21" s="1" t="s">
        <v>151</v>
      </c>
      <c r="K21" s="1" t="s">
        <v>76</v>
      </c>
      <c r="L21" s="1" t="s">
        <v>30</v>
      </c>
      <c r="M21" s="1" t="s">
        <v>31</v>
      </c>
      <c r="N21" s="1" t="s">
        <v>53</v>
      </c>
      <c r="O21" s="1" t="s">
        <v>70</v>
      </c>
      <c r="P21" s="1">
        <v>18000</v>
      </c>
      <c r="Q21" s="1">
        <v>2022</v>
      </c>
      <c r="R21" s="1">
        <v>202409</v>
      </c>
      <c r="S21" s="1" t="s">
        <v>134</v>
      </c>
      <c r="T21" s="1" t="s">
        <v>79</v>
      </c>
    </row>
    <row r="22" spans="1:20" x14ac:dyDescent="0.15">
      <c r="A22" s="1" t="s">
        <v>152</v>
      </c>
      <c r="B22" s="1" t="s">
        <v>21</v>
      </c>
      <c r="C22" s="1" t="s">
        <v>153</v>
      </c>
      <c r="D22" s="1" t="s">
        <v>90</v>
      </c>
      <c r="E22" s="1" t="s">
        <v>91</v>
      </c>
      <c r="F22" s="1" t="s">
        <v>25</v>
      </c>
      <c r="G22" s="1">
        <v>26500</v>
      </c>
      <c r="H22" s="1" t="s">
        <v>41</v>
      </c>
      <c r="I22" s="1" t="s">
        <v>154</v>
      </c>
      <c r="J22" s="1" t="s">
        <v>155</v>
      </c>
      <c r="K22" s="1" t="s">
        <v>29</v>
      </c>
      <c r="L22" s="1" t="s">
        <v>30</v>
      </c>
      <c r="M22" s="1" t="s">
        <v>31</v>
      </c>
      <c r="N22" s="1" t="s">
        <v>156</v>
      </c>
      <c r="O22" s="1" t="s">
        <v>46</v>
      </c>
      <c r="P22" s="1">
        <v>18000</v>
      </c>
      <c r="Q22" s="1">
        <v>2022</v>
      </c>
      <c r="R22" s="1">
        <v>202410</v>
      </c>
      <c r="S22" s="1" t="s">
        <v>157</v>
      </c>
      <c r="T22" s="1" t="s">
        <v>158</v>
      </c>
    </row>
    <row r="23" spans="1:20" x14ac:dyDescent="0.15">
      <c r="A23" s="1" t="s">
        <v>159</v>
      </c>
      <c r="B23" s="1" t="s">
        <v>21</v>
      </c>
      <c r="C23" s="1" t="s">
        <v>63</v>
      </c>
      <c r="D23" s="1" t="s">
        <v>23</v>
      </c>
      <c r="E23" s="1" t="s">
        <v>64</v>
      </c>
      <c r="F23" s="1" t="s">
        <v>25</v>
      </c>
      <c r="G23" s="1">
        <v>28000</v>
      </c>
      <c r="H23" s="1" t="s">
        <v>41</v>
      </c>
      <c r="I23" s="1" t="s">
        <v>160</v>
      </c>
      <c r="J23" s="1" t="s">
        <v>161</v>
      </c>
      <c r="K23" s="1" t="s">
        <v>44</v>
      </c>
      <c r="L23" s="1" t="s">
        <v>30</v>
      </c>
      <c r="M23" s="1" t="s">
        <v>31</v>
      </c>
      <c r="N23" s="1" t="s">
        <v>156</v>
      </c>
      <c r="O23" s="1" t="s">
        <v>61</v>
      </c>
      <c r="P23" s="1">
        <v>15000</v>
      </c>
      <c r="Q23" s="1">
        <v>2022</v>
      </c>
      <c r="R23" s="1">
        <v>202410</v>
      </c>
      <c r="S23" s="1" t="s">
        <v>157</v>
      </c>
      <c r="T23" s="1" t="s">
        <v>158</v>
      </c>
    </row>
    <row r="24" spans="1:20" x14ac:dyDescent="0.15">
      <c r="A24" s="1" t="s">
        <v>162</v>
      </c>
      <c r="B24" s="1" t="s">
        <v>21</v>
      </c>
      <c r="C24" s="1" t="s">
        <v>103</v>
      </c>
      <c r="D24" s="1" t="s">
        <v>90</v>
      </c>
      <c r="E24" s="1" t="s">
        <v>105</v>
      </c>
      <c r="F24" s="1" t="s">
        <v>25</v>
      </c>
      <c r="G24" s="1">
        <v>32000</v>
      </c>
      <c r="H24" s="1" t="s">
        <v>41</v>
      </c>
      <c r="I24" s="1" t="s">
        <v>163</v>
      </c>
      <c r="J24" s="1" t="s">
        <v>164</v>
      </c>
      <c r="K24" s="1" t="s">
        <v>165</v>
      </c>
      <c r="L24" s="1" t="s">
        <v>30</v>
      </c>
      <c r="M24" s="1" t="s">
        <v>166</v>
      </c>
      <c r="O24" s="1" t="s">
        <v>54</v>
      </c>
      <c r="P24" s="1">
        <v>2500</v>
      </c>
      <c r="Q24" s="1">
        <v>2024</v>
      </c>
      <c r="R24" s="1">
        <v>202410</v>
      </c>
      <c r="S24" s="1" t="s">
        <v>157</v>
      </c>
      <c r="T24" s="1" t="s">
        <v>158</v>
      </c>
    </row>
    <row r="25" spans="1:20" x14ac:dyDescent="0.15">
      <c r="A25" s="1" t="s">
        <v>167</v>
      </c>
      <c r="B25" s="1" t="s">
        <v>21</v>
      </c>
      <c r="C25" s="1" t="s">
        <v>37</v>
      </c>
      <c r="D25" s="1" t="s">
        <v>38</v>
      </c>
      <c r="E25" s="1" t="s">
        <v>81</v>
      </c>
      <c r="F25" s="1" t="s">
        <v>40</v>
      </c>
      <c r="G25" s="1">
        <v>27000</v>
      </c>
      <c r="H25" s="1" t="s">
        <v>41</v>
      </c>
      <c r="I25" s="1" t="s">
        <v>168</v>
      </c>
      <c r="J25" s="1" t="s">
        <v>169</v>
      </c>
      <c r="K25" s="1" t="s">
        <v>147</v>
      </c>
      <c r="L25" s="1" t="s">
        <v>52</v>
      </c>
      <c r="M25" s="1" t="s">
        <v>39</v>
      </c>
      <c r="N25" s="1" t="s">
        <v>53</v>
      </c>
      <c r="O25" s="1" t="s">
        <v>33</v>
      </c>
      <c r="P25" s="1">
        <v>11000</v>
      </c>
      <c r="Q25" s="1">
        <v>2023</v>
      </c>
      <c r="R25" s="1">
        <v>202410</v>
      </c>
      <c r="S25" s="1" t="s">
        <v>157</v>
      </c>
      <c r="T25" s="1" t="s">
        <v>158</v>
      </c>
    </row>
    <row r="26" spans="1:20" x14ac:dyDescent="0.15">
      <c r="A26" s="1" t="s">
        <v>170</v>
      </c>
      <c r="B26" s="1" t="s">
        <v>21</v>
      </c>
      <c r="C26" s="1" t="s">
        <v>115</v>
      </c>
      <c r="D26" s="1" t="s">
        <v>23</v>
      </c>
      <c r="E26" s="1" t="s">
        <v>73</v>
      </c>
      <c r="F26" s="1" t="s">
        <v>25</v>
      </c>
      <c r="G26" s="1">
        <v>58500</v>
      </c>
      <c r="H26" s="1" t="s">
        <v>92</v>
      </c>
      <c r="I26" s="1" t="s">
        <v>171</v>
      </c>
      <c r="J26" s="1" t="s">
        <v>172</v>
      </c>
      <c r="K26" s="1" t="s">
        <v>29</v>
      </c>
      <c r="L26" s="1" t="s">
        <v>30</v>
      </c>
      <c r="M26" s="1" t="s">
        <v>118</v>
      </c>
      <c r="O26" s="1" t="s">
        <v>61</v>
      </c>
      <c r="P26" s="1">
        <v>5000</v>
      </c>
      <c r="Q26" s="1">
        <v>2024</v>
      </c>
      <c r="R26" s="1">
        <v>202410</v>
      </c>
      <c r="S26" s="1" t="s">
        <v>157</v>
      </c>
      <c r="T26" s="1" t="s">
        <v>158</v>
      </c>
    </row>
    <row r="27" spans="1:20" x14ac:dyDescent="0.15">
      <c r="A27" s="1" t="s">
        <v>173</v>
      </c>
      <c r="B27" s="1" t="s">
        <v>21</v>
      </c>
      <c r="C27" s="1" t="s">
        <v>103</v>
      </c>
      <c r="D27" s="1" t="s">
        <v>90</v>
      </c>
      <c r="E27" s="1" t="s">
        <v>105</v>
      </c>
      <c r="F27" s="1" t="s">
        <v>25</v>
      </c>
      <c r="G27" s="1">
        <v>32000</v>
      </c>
      <c r="H27" s="1" t="s">
        <v>41</v>
      </c>
      <c r="I27" s="1" t="s">
        <v>174</v>
      </c>
      <c r="J27" s="1" t="s">
        <v>175</v>
      </c>
      <c r="K27" s="1" t="s">
        <v>142</v>
      </c>
      <c r="L27" s="1" t="s">
        <v>85</v>
      </c>
      <c r="M27" s="1" t="s">
        <v>39</v>
      </c>
      <c r="N27" s="1" t="s">
        <v>156</v>
      </c>
      <c r="O27" s="1" t="s">
        <v>46</v>
      </c>
      <c r="P27" s="1">
        <v>6000</v>
      </c>
      <c r="Q27" s="1">
        <v>2024</v>
      </c>
      <c r="R27" s="1">
        <v>202410</v>
      </c>
      <c r="S27" s="1" t="s">
        <v>157</v>
      </c>
      <c r="T27" s="1" t="s">
        <v>158</v>
      </c>
    </row>
    <row r="28" spans="1:20" x14ac:dyDescent="0.15">
      <c r="A28" s="1" t="s">
        <v>176</v>
      </c>
      <c r="B28" s="1" t="s">
        <v>21</v>
      </c>
      <c r="C28" s="1" t="s">
        <v>110</v>
      </c>
      <c r="D28" s="1" t="s">
        <v>104</v>
      </c>
      <c r="E28" s="1" t="s">
        <v>105</v>
      </c>
      <c r="F28" s="1" t="s">
        <v>111</v>
      </c>
      <c r="G28" s="1">
        <v>43000</v>
      </c>
      <c r="H28" s="1" t="s">
        <v>92</v>
      </c>
      <c r="I28" s="1" t="s">
        <v>177</v>
      </c>
      <c r="J28" s="1" t="s">
        <v>178</v>
      </c>
      <c r="K28" s="1" t="s">
        <v>29</v>
      </c>
      <c r="L28" s="1" t="s">
        <v>30</v>
      </c>
      <c r="M28" s="1" t="s">
        <v>166</v>
      </c>
      <c r="O28" s="1" t="s">
        <v>61</v>
      </c>
      <c r="P28" s="1">
        <v>4500</v>
      </c>
      <c r="Q28" s="1">
        <v>2024</v>
      </c>
      <c r="R28" s="1">
        <v>202411</v>
      </c>
      <c r="S28" s="1" t="s">
        <v>179</v>
      </c>
      <c r="T28" s="1" t="s">
        <v>158</v>
      </c>
    </row>
    <row r="29" spans="1:20" x14ac:dyDescent="0.15">
      <c r="A29" s="1" t="s">
        <v>180</v>
      </c>
      <c r="B29" s="1" t="s">
        <v>21</v>
      </c>
      <c r="C29" s="1" t="s">
        <v>63</v>
      </c>
      <c r="D29" s="1" t="s">
        <v>23</v>
      </c>
      <c r="E29" s="1" t="s">
        <v>64</v>
      </c>
      <c r="F29" s="1" t="s">
        <v>25</v>
      </c>
      <c r="G29" s="1">
        <v>28000</v>
      </c>
      <c r="H29" s="1" t="s">
        <v>41</v>
      </c>
      <c r="I29" s="1" t="s">
        <v>181</v>
      </c>
      <c r="J29" s="1" t="s">
        <v>182</v>
      </c>
      <c r="K29" s="1" t="s">
        <v>183</v>
      </c>
      <c r="L29" s="1" t="s">
        <v>85</v>
      </c>
      <c r="M29" s="1" t="s">
        <v>166</v>
      </c>
      <c r="O29" s="1" t="s">
        <v>46</v>
      </c>
      <c r="P29" s="1">
        <v>3500</v>
      </c>
      <c r="Q29" s="1">
        <v>2024</v>
      </c>
      <c r="R29" s="1">
        <v>202411</v>
      </c>
      <c r="S29" s="1" t="s">
        <v>179</v>
      </c>
      <c r="T29" s="1" t="s">
        <v>158</v>
      </c>
    </row>
    <row r="30" spans="1:20" x14ac:dyDescent="0.15">
      <c r="A30" s="1" t="s">
        <v>184</v>
      </c>
      <c r="B30" s="1" t="s">
        <v>21</v>
      </c>
      <c r="C30" s="1" t="s">
        <v>115</v>
      </c>
      <c r="D30" s="1" t="s">
        <v>23</v>
      </c>
      <c r="E30" s="1" t="s">
        <v>73</v>
      </c>
      <c r="F30" s="1" t="s">
        <v>25</v>
      </c>
      <c r="G30" s="1">
        <v>58500</v>
      </c>
      <c r="H30" s="1" t="s">
        <v>92</v>
      </c>
      <c r="I30" s="1" t="s">
        <v>185</v>
      </c>
      <c r="J30" s="1" t="s">
        <v>186</v>
      </c>
      <c r="K30" s="1" t="s">
        <v>76</v>
      </c>
      <c r="L30" s="1" t="s">
        <v>30</v>
      </c>
      <c r="M30" s="1" t="s">
        <v>118</v>
      </c>
      <c r="O30" s="1" t="s">
        <v>124</v>
      </c>
      <c r="P30" s="1">
        <v>6000</v>
      </c>
      <c r="Q30" s="1">
        <v>2023</v>
      </c>
      <c r="R30" s="1">
        <v>202411</v>
      </c>
      <c r="S30" s="1" t="s">
        <v>179</v>
      </c>
      <c r="T30" s="1" t="s">
        <v>158</v>
      </c>
    </row>
    <row r="31" spans="1:20" x14ac:dyDescent="0.15">
      <c r="A31" s="1" t="s">
        <v>187</v>
      </c>
      <c r="B31" s="1" t="s">
        <v>21</v>
      </c>
      <c r="C31" s="1" t="s">
        <v>63</v>
      </c>
      <c r="D31" s="1" t="s">
        <v>23</v>
      </c>
      <c r="E31" s="1" t="s">
        <v>64</v>
      </c>
      <c r="F31" s="1" t="s">
        <v>25</v>
      </c>
      <c r="G31" s="1">
        <v>28000</v>
      </c>
      <c r="H31" s="1" t="s">
        <v>41</v>
      </c>
      <c r="I31" s="1" t="s">
        <v>188</v>
      </c>
      <c r="J31" s="1" t="s">
        <v>189</v>
      </c>
      <c r="K31" s="1" t="s">
        <v>183</v>
      </c>
      <c r="L31" s="1" t="s">
        <v>85</v>
      </c>
      <c r="M31" s="1" t="s">
        <v>31</v>
      </c>
      <c r="N31" s="1" t="s">
        <v>190</v>
      </c>
      <c r="O31" s="1" t="s">
        <v>54</v>
      </c>
      <c r="P31" s="1">
        <v>4000</v>
      </c>
      <c r="Q31" s="1">
        <v>2024</v>
      </c>
      <c r="R31" s="1">
        <v>202411</v>
      </c>
      <c r="S31" s="1" t="s">
        <v>179</v>
      </c>
      <c r="T31" s="1" t="s">
        <v>158</v>
      </c>
    </row>
    <row r="32" spans="1:20" x14ac:dyDescent="0.15">
      <c r="A32" s="1" t="s">
        <v>191</v>
      </c>
      <c r="B32" s="1" t="s">
        <v>21</v>
      </c>
      <c r="C32" s="1" t="s">
        <v>110</v>
      </c>
      <c r="D32" s="1" t="s">
        <v>104</v>
      </c>
      <c r="E32" s="1" t="s">
        <v>105</v>
      </c>
      <c r="F32" s="1" t="s">
        <v>111</v>
      </c>
      <c r="G32" s="1">
        <v>43000</v>
      </c>
      <c r="H32" s="1" t="s">
        <v>92</v>
      </c>
      <c r="I32" s="1" t="s">
        <v>192</v>
      </c>
      <c r="J32" s="1" t="s">
        <v>193</v>
      </c>
      <c r="K32" s="1" t="s">
        <v>142</v>
      </c>
      <c r="L32" s="1" t="s">
        <v>85</v>
      </c>
      <c r="M32" s="1" t="s">
        <v>31</v>
      </c>
      <c r="N32" s="1" t="s">
        <v>95</v>
      </c>
      <c r="O32" s="1" t="s">
        <v>46</v>
      </c>
      <c r="P32" s="1">
        <v>8000</v>
      </c>
      <c r="Q32" s="1">
        <v>2023</v>
      </c>
      <c r="R32" s="1">
        <v>202411</v>
      </c>
      <c r="S32" s="1" t="s">
        <v>179</v>
      </c>
      <c r="T32" s="1" t="s">
        <v>158</v>
      </c>
    </row>
    <row r="33" spans="1:20" x14ac:dyDescent="0.15">
      <c r="A33" s="1" t="s">
        <v>194</v>
      </c>
      <c r="B33" s="1" t="s">
        <v>21</v>
      </c>
      <c r="C33" s="1" t="s">
        <v>115</v>
      </c>
      <c r="D33" s="1" t="s">
        <v>23</v>
      </c>
      <c r="E33" s="1" t="s">
        <v>73</v>
      </c>
      <c r="F33" s="1" t="s">
        <v>25</v>
      </c>
      <c r="G33" s="1">
        <v>58500</v>
      </c>
      <c r="H33" s="1" t="s">
        <v>92</v>
      </c>
      <c r="I33" s="1" t="s">
        <v>195</v>
      </c>
      <c r="J33" s="1" t="s">
        <v>196</v>
      </c>
      <c r="K33" s="1" t="s">
        <v>29</v>
      </c>
      <c r="L33" s="1" t="s">
        <v>30</v>
      </c>
      <c r="M33" s="1" t="s">
        <v>118</v>
      </c>
      <c r="O33" s="1" t="s">
        <v>61</v>
      </c>
      <c r="P33" s="1">
        <v>3000</v>
      </c>
      <c r="Q33" s="1">
        <v>2024</v>
      </c>
      <c r="R33" s="1">
        <v>202412</v>
      </c>
      <c r="S33" s="1" t="s">
        <v>197</v>
      </c>
      <c r="T33" s="1" t="s">
        <v>158</v>
      </c>
    </row>
    <row r="34" spans="1:20" x14ac:dyDescent="0.15">
      <c r="A34" s="1" t="s">
        <v>198</v>
      </c>
      <c r="B34" s="1" t="s">
        <v>21</v>
      </c>
      <c r="C34" s="1" t="s">
        <v>103</v>
      </c>
      <c r="D34" s="1" t="s">
        <v>90</v>
      </c>
      <c r="E34" s="1" t="s">
        <v>105</v>
      </c>
      <c r="F34" s="1" t="s">
        <v>25</v>
      </c>
      <c r="G34" s="1">
        <v>32000</v>
      </c>
      <c r="H34" s="1" t="s">
        <v>41</v>
      </c>
      <c r="I34" s="1" t="s">
        <v>199</v>
      </c>
      <c r="J34" s="1" t="s">
        <v>200</v>
      </c>
      <c r="K34" s="1" t="s">
        <v>44</v>
      </c>
      <c r="L34" s="1" t="s">
        <v>30</v>
      </c>
      <c r="M34" s="1" t="s">
        <v>31</v>
      </c>
      <c r="N34" s="1" t="s">
        <v>201</v>
      </c>
      <c r="O34" s="1" t="s">
        <v>54</v>
      </c>
      <c r="P34" s="1">
        <v>3500</v>
      </c>
      <c r="Q34" s="1">
        <v>2024</v>
      </c>
      <c r="R34" s="1">
        <v>202412</v>
      </c>
      <c r="S34" s="1" t="s">
        <v>197</v>
      </c>
      <c r="T34" s="1" t="s">
        <v>158</v>
      </c>
    </row>
    <row r="35" spans="1:20" x14ac:dyDescent="0.15">
      <c r="A35" s="1" t="s">
        <v>202</v>
      </c>
      <c r="B35" s="1" t="s">
        <v>21</v>
      </c>
      <c r="C35" s="1" t="s">
        <v>63</v>
      </c>
      <c r="D35" s="1" t="s">
        <v>23</v>
      </c>
      <c r="E35" s="1" t="s">
        <v>64</v>
      </c>
      <c r="F35" s="1" t="s">
        <v>25</v>
      </c>
      <c r="G35" s="1">
        <v>28000</v>
      </c>
      <c r="H35" s="1" t="s">
        <v>41</v>
      </c>
      <c r="I35" s="1" t="s">
        <v>203</v>
      </c>
      <c r="J35" s="1" t="s">
        <v>204</v>
      </c>
      <c r="K35" s="1" t="s">
        <v>142</v>
      </c>
      <c r="L35" s="1" t="s">
        <v>85</v>
      </c>
      <c r="M35" s="1" t="s">
        <v>31</v>
      </c>
      <c r="N35" s="1" t="s">
        <v>205</v>
      </c>
      <c r="O35" s="1" t="s">
        <v>101</v>
      </c>
      <c r="P35" s="1">
        <v>5000</v>
      </c>
      <c r="Q35" s="1">
        <v>2024</v>
      </c>
      <c r="R35" s="1">
        <v>202412</v>
      </c>
      <c r="S35" s="1" t="s">
        <v>197</v>
      </c>
      <c r="T35" s="1" t="s">
        <v>158</v>
      </c>
    </row>
    <row r="36" spans="1:20" x14ac:dyDescent="0.15">
      <c r="A36" s="1" t="s">
        <v>206</v>
      </c>
      <c r="B36" s="1" t="s">
        <v>207</v>
      </c>
      <c r="C36" s="1" t="s">
        <v>208</v>
      </c>
      <c r="D36" s="1" t="s">
        <v>23</v>
      </c>
      <c r="E36" s="1" t="s">
        <v>24</v>
      </c>
      <c r="F36" s="1" t="s">
        <v>25</v>
      </c>
      <c r="G36" s="1">
        <v>24500</v>
      </c>
      <c r="H36" s="1" t="s">
        <v>26</v>
      </c>
      <c r="I36" s="1" t="s">
        <v>209</v>
      </c>
      <c r="J36" s="1" t="s">
        <v>210</v>
      </c>
      <c r="K36" s="1" t="s">
        <v>147</v>
      </c>
      <c r="L36" s="1" t="s">
        <v>52</v>
      </c>
      <c r="M36" s="1" t="s">
        <v>31</v>
      </c>
      <c r="N36" s="1" t="s">
        <v>53</v>
      </c>
      <c r="O36" s="1" t="s">
        <v>61</v>
      </c>
      <c r="P36" s="1">
        <v>15000</v>
      </c>
      <c r="Q36" s="1">
        <v>2021</v>
      </c>
      <c r="R36" s="1">
        <v>202401</v>
      </c>
      <c r="S36" s="1" t="s">
        <v>34</v>
      </c>
      <c r="T36" s="1" t="s">
        <v>35</v>
      </c>
    </row>
    <row r="37" spans="1:20" x14ac:dyDescent="0.15">
      <c r="A37" s="1" t="s">
        <v>211</v>
      </c>
      <c r="B37" s="1" t="s">
        <v>212</v>
      </c>
      <c r="C37" s="1" t="s">
        <v>213</v>
      </c>
      <c r="D37" s="1" t="s">
        <v>23</v>
      </c>
      <c r="E37" s="1" t="s">
        <v>73</v>
      </c>
      <c r="F37" s="1" t="s">
        <v>25</v>
      </c>
      <c r="G37" s="1">
        <v>26800</v>
      </c>
      <c r="H37" s="1" t="s">
        <v>41</v>
      </c>
      <c r="I37" s="1" t="s">
        <v>214</v>
      </c>
      <c r="J37" s="1" t="s">
        <v>215</v>
      </c>
      <c r="L37" s="1" t="s">
        <v>52</v>
      </c>
      <c r="M37" s="1" t="s">
        <v>31</v>
      </c>
      <c r="N37" s="1" t="s">
        <v>60</v>
      </c>
      <c r="O37" s="1" t="s">
        <v>54</v>
      </c>
      <c r="P37" s="1">
        <v>22000</v>
      </c>
      <c r="Q37" s="1">
        <v>2020</v>
      </c>
      <c r="R37" s="1">
        <v>202402</v>
      </c>
      <c r="S37" s="1" t="s">
        <v>47</v>
      </c>
      <c r="T37" s="1" t="s">
        <v>35</v>
      </c>
    </row>
    <row r="38" spans="1:20" x14ac:dyDescent="0.15">
      <c r="A38" s="1" t="s">
        <v>216</v>
      </c>
      <c r="B38" s="1" t="s">
        <v>217</v>
      </c>
      <c r="C38" s="1" t="s">
        <v>218</v>
      </c>
      <c r="D38" s="1" t="s">
        <v>23</v>
      </c>
      <c r="E38" s="1" t="s">
        <v>24</v>
      </c>
      <c r="F38" s="1" t="s">
        <v>25</v>
      </c>
      <c r="G38" s="1">
        <v>22900</v>
      </c>
      <c r="H38" s="1" t="s">
        <v>26</v>
      </c>
      <c r="I38" s="1" t="s">
        <v>219</v>
      </c>
      <c r="J38" s="1" t="s">
        <v>220</v>
      </c>
      <c r="K38" s="1" t="s">
        <v>44</v>
      </c>
      <c r="L38" s="1" t="s">
        <v>30</v>
      </c>
      <c r="M38" s="1" t="s">
        <v>31</v>
      </c>
      <c r="N38" s="1" t="s">
        <v>156</v>
      </c>
      <c r="O38" s="1" t="s">
        <v>70</v>
      </c>
      <c r="P38" s="1">
        <v>12000</v>
      </c>
      <c r="Q38" s="1">
        <v>2022</v>
      </c>
      <c r="R38" s="1">
        <v>202402</v>
      </c>
      <c r="S38" s="1" t="s">
        <v>47</v>
      </c>
      <c r="T38" s="1" t="s">
        <v>35</v>
      </c>
    </row>
    <row r="39" spans="1:20" x14ac:dyDescent="0.15">
      <c r="A39" s="1" t="s">
        <v>221</v>
      </c>
      <c r="B39" s="1" t="s">
        <v>222</v>
      </c>
      <c r="C39" s="1" t="s">
        <v>223</v>
      </c>
      <c r="D39" s="1" t="s">
        <v>90</v>
      </c>
      <c r="E39" s="1" t="s">
        <v>91</v>
      </c>
      <c r="F39" s="1" t="s">
        <v>25</v>
      </c>
      <c r="G39" s="1">
        <v>38900</v>
      </c>
      <c r="H39" s="1" t="s">
        <v>41</v>
      </c>
      <c r="I39" s="1" t="s">
        <v>224</v>
      </c>
      <c r="J39" s="1" t="s">
        <v>225</v>
      </c>
      <c r="K39" s="1" t="s">
        <v>142</v>
      </c>
      <c r="L39" s="1" t="s">
        <v>85</v>
      </c>
      <c r="M39" s="1" t="s">
        <v>31</v>
      </c>
      <c r="N39" s="1" t="s">
        <v>86</v>
      </c>
      <c r="O39" s="1" t="s">
        <v>101</v>
      </c>
      <c r="P39" s="1">
        <v>35000</v>
      </c>
      <c r="Q39" s="1">
        <v>2020</v>
      </c>
      <c r="R39" s="1">
        <v>202402</v>
      </c>
      <c r="S39" s="1" t="s">
        <v>47</v>
      </c>
      <c r="T39" s="1" t="s">
        <v>35</v>
      </c>
    </row>
    <row r="40" spans="1:20" x14ac:dyDescent="0.15">
      <c r="A40" s="1" t="s">
        <v>226</v>
      </c>
      <c r="B40" s="1" t="s">
        <v>227</v>
      </c>
      <c r="C40" s="1" t="s">
        <v>228</v>
      </c>
      <c r="D40" s="1" t="s">
        <v>23</v>
      </c>
      <c r="E40" s="1" t="s">
        <v>73</v>
      </c>
      <c r="F40" s="1" t="s">
        <v>111</v>
      </c>
      <c r="G40" s="1">
        <v>89500</v>
      </c>
      <c r="H40" s="1" t="s">
        <v>229</v>
      </c>
      <c r="I40" s="1" t="s">
        <v>230</v>
      </c>
      <c r="J40" s="1" t="s">
        <v>231</v>
      </c>
      <c r="K40" s="1" t="s">
        <v>165</v>
      </c>
      <c r="L40" s="1" t="s">
        <v>30</v>
      </c>
      <c r="M40" s="1" t="s">
        <v>166</v>
      </c>
      <c r="O40" s="1" t="s">
        <v>70</v>
      </c>
      <c r="P40" s="1">
        <v>8000</v>
      </c>
      <c r="Q40" s="1">
        <v>2023</v>
      </c>
      <c r="R40" s="1">
        <v>202403</v>
      </c>
      <c r="S40" s="1" t="s">
        <v>55</v>
      </c>
      <c r="T40" s="1" t="s">
        <v>35</v>
      </c>
    </row>
    <row r="41" spans="1:20" x14ac:dyDescent="0.15">
      <c r="A41" s="1" t="s">
        <v>232</v>
      </c>
      <c r="B41" s="1" t="s">
        <v>212</v>
      </c>
      <c r="C41" s="1" t="s">
        <v>213</v>
      </c>
      <c r="D41" s="1" t="s">
        <v>23</v>
      </c>
      <c r="E41" s="1" t="s">
        <v>73</v>
      </c>
      <c r="F41" s="1" t="s">
        <v>25</v>
      </c>
      <c r="G41" s="1">
        <v>27500</v>
      </c>
      <c r="H41" s="1" t="s">
        <v>41</v>
      </c>
      <c r="I41" s="1" t="s">
        <v>233</v>
      </c>
      <c r="J41" s="1" t="s">
        <v>234</v>
      </c>
      <c r="K41" s="1" t="s">
        <v>183</v>
      </c>
      <c r="L41" s="1" t="s">
        <v>85</v>
      </c>
      <c r="M41" s="1" t="s">
        <v>31</v>
      </c>
      <c r="N41" s="1" t="s">
        <v>60</v>
      </c>
      <c r="P41" s="1">
        <v>26000</v>
      </c>
      <c r="Q41" s="1">
        <v>2020</v>
      </c>
      <c r="R41" s="1">
        <v>202403</v>
      </c>
      <c r="S41" s="1" t="s">
        <v>55</v>
      </c>
      <c r="T41" s="1" t="s">
        <v>35</v>
      </c>
    </row>
    <row r="42" spans="1:20" x14ac:dyDescent="0.15">
      <c r="A42" s="1" t="s">
        <v>235</v>
      </c>
      <c r="B42" s="1" t="s">
        <v>222</v>
      </c>
      <c r="C42" s="1" t="s">
        <v>223</v>
      </c>
      <c r="D42" s="1" t="s">
        <v>90</v>
      </c>
      <c r="E42" s="1" t="s">
        <v>91</v>
      </c>
      <c r="F42" s="1" t="s">
        <v>25</v>
      </c>
      <c r="G42" s="1">
        <v>41200</v>
      </c>
      <c r="H42" s="1" t="s">
        <v>92</v>
      </c>
      <c r="I42" s="1" t="s">
        <v>236</v>
      </c>
      <c r="J42" s="1" t="s">
        <v>237</v>
      </c>
      <c r="K42" s="1" t="s">
        <v>84</v>
      </c>
      <c r="L42" s="1" t="s">
        <v>85</v>
      </c>
      <c r="M42" s="1" t="s">
        <v>31</v>
      </c>
      <c r="N42" s="1" t="s">
        <v>86</v>
      </c>
      <c r="O42" s="1" t="s">
        <v>46</v>
      </c>
      <c r="P42" s="1">
        <v>29000</v>
      </c>
      <c r="Q42" s="1">
        <v>2020</v>
      </c>
      <c r="R42" s="1">
        <v>202403</v>
      </c>
      <c r="S42" s="1" t="s">
        <v>55</v>
      </c>
      <c r="T42" s="1" t="s">
        <v>35</v>
      </c>
    </row>
    <row r="43" spans="1:20" x14ac:dyDescent="0.15">
      <c r="A43" s="1" t="s">
        <v>238</v>
      </c>
      <c r="B43" s="1" t="s">
        <v>217</v>
      </c>
      <c r="C43" s="1" t="s">
        <v>239</v>
      </c>
      <c r="D43" s="1" t="s">
        <v>23</v>
      </c>
      <c r="E43" s="1" t="s">
        <v>24</v>
      </c>
      <c r="F43" s="1" t="s">
        <v>25</v>
      </c>
      <c r="G43" s="1">
        <v>18900</v>
      </c>
      <c r="H43" s="1" t="s">
        <v>26</v>
      </c>
      <c r="I43" s="1" t="s">
        <v>240</v>
      </c>
      <c r="J43" s="1" t="s">
        <v>241</v>
      </c>
      <c r="K43" s="1" t="s">
        <v>44</v>
      </c>
      <c r="L43" s="1" t="s">
        <v>30</v>
      </c>
      <c r="M43" s="1" t="s">
        <v>31</v>
      </c>
      <c r="N43" s="1" t="s">
        <v>242</v>
      </c>
      <c r="O43" s="1" t="s">
        <v>70</v>
      </c>
      <c r="P43" s="1">
        <v>14000</v>
      </c>
      <c r="Q43" s="1">
        <v>2022</v>
      </c>
      <c r="R43" s="1">
        <v>202407</v>
      </c>
      <c r="S43" s="1" t="s">
        <v>78</v>
      </c>
      <c r="T43" s="1" t="s">
        <v>79</v>
      </c>
    </row>
    <row r="44" spans="1:20" x14ac:dyDescent="0.15">
      <c r="A44" s="1" t="s">
        <v>243</v>
      </c>
      <c r="B44" s="1" t="s">
        <v>244</v>
      </c>
      <c r="C44" s="1" t="s">
        <v>245</v>
      </c>
      <c r="D44" s="1" t="s">
        <v>23</v>
      </c>
      <c r="E44" s="1" t="s">
        <v>73</v>
      </c>
      <c r="F44" s="1" t="s">
        <v>111</v>
      </c>
      <c r="G44" s="1">
        <v>89900</v>
      </c>
      <c r="H44" s="1" t="s">
        <v>229</v>
      </c>
      <c r="I44" s="1" t="s">
        <v>246</v>
      </c>
      <c r="J44" s="1" t="s">
        <v>247</v>
      </c>
      <c r="K44" s="1" t="s">
        <v>248</v>
      </c>
      <c r="L44" s="1" t="s">
        <v>52</v>
      </c>
      <c r="M44" s="1" t="s">
        <v>31</v>
      </c>
      <c r="N44" s="1" t="s">
        <v>190</v>
      </c>
      <c r="O44" s="1" t="s">
        <v>101</v>
      </c>
      <c r="P44" s="1">
        <v>26000</v>
      </c>
      <c r="Q44" s="1">
        <v>2020</v>
      </c>
      <c r="R44" s="1">
        <v>202407</v>
      </c>
      <c r="S44" s="1" t="s">
        <v>78</v>
      </c>
      <c r="T44" s="1" t="s">
        <v>79</v>
      </c>
    </row>
    <row r="45" spans="1:20" x14ac:dyDescent="0.15">
      <c r="A45" s="1" t="s">
        <v>249</v>
      </c>
      <c r="B45" s="1" t="s">
        <v>212</v>
      </c>
      <c r="C45" s="1" t="s">
        <v>250</v>
      </c>
      <c r="D45" s="1" t="s">
        <v>90</v>
      </c>
      <c r="E45" s="1" t="s">
        <v>91</v>
      </c>
      <c r="F45" s="1" t="s">
        <v>25</v>
      </c>
      <c r="G45" s="1">
        <v>51200</v>
      </c>
      <c r="H45" s="1" t="s">
        <v>92</v>
      </c>
      <c r="I45" s="1" t="s">
        <v>251</v>
      </c>
      <c r="J45" s="1" t="s">
        <v>252</v>
      </c>
      <c r="K45" s="1" t="s">
        <v>183</v>
      </c>
      <c r="L45" s="1" t="s">
        <v>85</v>
      </c>
      <c r="M45" s="1" t="s">
        <v>31</v>
      </c>
      <c r="N45" s="1" t="s">
        <v>253</v>
      </c>
      <c r="O45" s="1" t="s">
        <v>61</v>
      </c>
      <c r="P45" s="1">
        <v>30000</v>
      </c>
      <c r="Q45" s="1">
        <v>2020</v>
      </c>
      <c r="R45" s="1">
        <v>202407</v>
      </c>
      <c r="S45" s="1" t="s">
        <v>78</v>
      </c>
      <c r="T45" s="1" t="s">
        <v>79</v>
      </c>
    </row>
    <row r="46" spans="1:20" x14ac:dyDescent="0.15">
      <c r="A46" s="1" t="s">
        <v>254</v>
      </c>
      <c r="B46" s="1" t="s">
        <v>255</v>
      </c>
      <c r="C46" s="1" t="s">
        <v>256</v>
      </c>
      <c r="D46" s="1" t="s">
        <v>90</v>
      </c>
      <c r="E46" s="1" t="s">
        <v>91</v>
      </c>
      <c r="F46" s="1" t="s">
        <v>25</v>
      </c>
      <c r="G46" s="1">
        <v>38900</v>
      </c>
      <c r="H46" s="1" t="s">
        <v>41</v>
      </c>
      <c r="I46" s="1" t="s">
        <v>257</v>
      </c>
      <c r="J46" s="1" t="s">
        <v>258</v>
      </c>
      <c r="K46" s="1" t="s">
        <v>67</v>
      </c>
      <c r="L46" s="1" t="s">
        <v>68</v>
      </c>
      <c r="M46" s="1" t="s">
        <v>31</v>
      </c>
      <c r="N46" s="1" t="s">
        <v>259</v>
      </c>
      <c r="O46" s="1" t="s">
        <v>143</v>
      </c>
      <c r="P46" s="1">
        <v>9000</v>
      </c>
      <c r="Q46" s="1">
        <v>2023</v>
      </c>
      <c r="R46" s="1">
        <v>202407</v>
      </c>
      <c r="S46" s="1" t="s">
        <v>78</v>
      </c>
      <c r="T46" s="1" t="s">
        <v>79</v>
      </c>
    </row>
    <row r="47" spans="1:20" x14ac:dyDescent="0.15">
      <c r="A47" s="1" t="s">
        <v>260</v>
      </c>
      <c r="B47" s="1" t="s">
        <v>244</v>
      </c>
      <c r="C47" s="1" t="s">
        <v>261</v>
      </c>
      <c r="D47" s="1" t="s">
        <v>262</v>
      </c>
      <c r="E47" s="1" t="s">
        <v>263</v>
      </c>
      <c r="F47" s="1" t="s">
        <v>111</v>
      </c>
      <c r="G47" s="1">
        <v>99900</v>
      </c>
      <c r="H47" s="1" t="s">
        <v>264</v>
      </c>
      <c r="I47" s="1" t="s">
        <v>265</v>
      </c>
      <c r="J47" s="1" t="s">
        <v>266</v>
      </c>
      <c r="K47" s="1" t="s">
        <v>248</v>
      </c>
      <c r="L47" s="1" t="s">
        <v>52</v>
      </c>
      <c r="M47" s="1" t="s">
        <v>31</v>
      </c>
      <c r="N47" s="1" t="s">
        <v>190</v>
      </c>
      <c r="O47" s="1" t="s">
        <v>61</v>
      </c>
      <c r="P47" s="1">
        <v>18000</v>
      </c>
      <c r="Q47" s="1">
        <v>2022</v>
      </c>
      <c r="R47" s="1">
        <v>202407</v>
      </c>
      <c r="S47" s="1" t="s">
        <v>78</v>
      </c>
      <c r="T47" s="1" t="s">
        <v>79</v>
      </c>
    </row>
    <row r="48" spans="1:20" x14ac:dyDescent="0.15">
      <c r="A48" s="1" t="s">
        <v>267</v>
      </c>
      <c r="B48" s="1" t="s">
        <v>222</v>
      </c>
      <c r="C48" s="1" t="s">
        <v>268</v>
      </c>
      <c r="D48" s="1" t="s">
        <v>90</v>
      </c>
      <c r="E48" s="1" t="s">
        <v>91</v>
      </c>
      <c r="F48" s="1" t="s">
        <v>25</v>
      </c>
      <c r="G48" s="1">
        <v>22900</v>
      </c>
      <c r="H48" s="1" t="s">
        <v>26</v>
      </c>
      <c r="I48" s="1" t="s">
        <v>269</v>
      </c>
      <c r="J48" s="1" t="s">
        <v>270</v>
      </c>
      <c r="K48" s="1" t="s">
        <v>142</v>
      </c>
      <c r="L48" s="1" t="s">
        <v>85</v>
      </c>
      <c r="M48" s="1" t="s">
        <v>31</v>
      </c>
      <c r="N48" s="1" t="s">
        <v>271</v>
      </c>
      <c r="O48" s="1" t="s">
        <v>54</v>
      </c>
      <c r="P48" s="1">
        <v>45000</v>
      </c>
      <c r="Q48" s="1">
        <v>2016</v>
      </c>
      <c r="R48" s="1">
        <v>202408</v>
      </c>
      <c r="S48" s="1" t="s">
        <v>108</v>
      </c>
      <c r="T48" s="1" t="s">
        <v>79</v>
      </c>
    </row>
    <row r="49" spans="1:20" x14ac:dyDescent="0.15">
      <c r="A49" s="1" t="s">
        <v>272</v>
      </c>
      <c r="B49" s="1" t="s">
        <v>273</v>
      </c>
      <c r="C49" s="1" t="s">
        <v>274</v>
      </c>
      <c r="D49" s="1" t="s">
        <v>90</v>
      </c>
      <c r="E49" s="1" t="s">
        <v>91</v>
      </c>
      <c r="F49" s="1" t="s">
        <v>25</v>
      </c>
      <c r="G49" s="1">
        <v>35200</v>
      </c>
      <c r="H49" s="1" t="s">
        <v>41</v>
      </c>
      <c r="I49" s="1" t="s">
        <v>275</v>
      </c>
      <c r="J49" s="1" t="s">
        <v>276</v>
      </c>
      <c r="K49" s="1" t="s">
        <v>99</v>
      </c>
      <c r="L49" s="1" t="s">
        <v>68</v>
      </c>
      <c r="M49" s="1" t="s">
        <v>31</v>
      </c>
      <c r="N49" s="1" t="s">
        <v>60</v>
      </c>
      <c r="O49" s="1" t="s">
        <v>46</v>
      </c>
      <c r="P49" s="1">
        <v>25000</v>
      </c>
      <c r="Q49" s="1">
        <v>2020</v>
      </c>
      <c r="R49" s="1">
        <v>202409</v>
      </c>
      <c r="S49" s="1" t="s">
        <v>134</v>
      </c>
      <c r="T49" s="1" t="s">
        <v>79</v>
      </c>
    </row>
    <row r="50" spans="1:20" x14ac:dyDescent="0.15">
      <c r="A50" s="1" t="s">
        <v>277</v>
      </c>
      <c r="B50" s="1" t="s">
        <v>255</v>
      </c>
      <c r="C50" s="1" t="s">
        <v>278</v>
      </c>
      <c r="D50" s="1" t="s">
        <v>104</v>
      </c>
      <c r="E50" s="1" t="s">
        <v>91</v>
      </c>
      <c r="F50" s="1" t="s">
        <v>25</v>
      </c>
      <c r="G50" s="1">
        <v>22900</v>
      </c>
      <c r="H50" s="1" t="s">
        <v>26</v>
      </c>
      <c r="I50" s="1" t="s">
        <v>279</v>
      </c>
      <c r="J50" s="1" t="s">
        <v>280</v>
      </c>
      <c r="K50" s="1" t="s">
        <v>67</v>
      </c>
      <c r="L50" s="1" t="s">
        <v>68</v>
      </c>
      <c r="M50" s="1" t="s">
        <v>31</v>
      </c>
      <c r="N50" s="1" t="s">
        <v>281</v>
      </c>
      <c r="O50" s="1" t="s">
        <v>33</v>
      </c>
      <c r="P50" s="1">
        <v>19000</v>
      </c>
      <c r="Q50" s="1">
        <v>2021</v>
      </c>
      <c r="R50" s="1">
        <v>202409</v>
      </c>
      <c r="S50" s="1" t="s">
        <v>134</v>
      </c>
      <c r="T50" s="1" t="s">
        <v>79</v>
      </c>
    </row>
    <row r="51" spans="1:20" x14ac:dyDescent="0.15">
      <c r="A51" s="1" t="s">
        <v>282</v>
      </c>
      <c r="B51" s="1" t="s">
        <v>222</v>
      </c>
      <c r="C51" s="1" t="s">
        <v>283</v>
      </c>
      <c r="D51" s="1" t="s">
        <v>90</v>
      </c>
      <c r="E51" s="1" t="s">
        <v>91</v>
      </c>
      <c r="F51" s="1" t="s">
        <v>25</v>
      </c>
      <c r="G51" s="1">
        <v>27900</v>
      </c>
      <c r="H51" s="1" t="s">
        <v>41</v>
      </c>
      <c r="I51" s="1" t="s">
        <v>284</v>
      </c>
      <c r="J51" s="1" t="s">
        <v>285</v>
      </c>
      <c r="K51" s="1" t="s">
        <v>142</v>
      </c>
      <c r="L51" s="1" t="s">
        <v>85</v>
      </c>
      <c r="M51" s="1" t="s">
        <v>31</v>
      </c>
      <c r="N51" s="1" t="s">
        <v>286</v>
      </c>
      <c r="O51" s="1" t="s">
        <v>54</v>
      </c>
      <c r="P51" s="1">
        <v>13000</v>
      </c>
      <c r="Q51" s="1">
        <v>2023</v>
      </c>
      <c r="R51" s="1">
        <v>202410</v>
      </c>
      <c r="S51" s="1" t="s">
        <v>157</v>
      </c>
      <c r="T51" s="1" t="s">
        <v>158</v>
      </c>
    </row>
    <row r="52" spans="1:20" x14ac:dyDescent="0.15">
      <c r="A52" s="1" t="s">
        <v>287</v>
      </c>
      <c r="B52" s="1" t="s">
        <v>273</v>
      </c>
      <c r="C52" s="1" t="s">
        <v>288</v>
      </c>
      <c r="D52" s="1" t="s">
        <v>23</v>
      </c>
      <c r="E52" s="1" t="s">
        <v>73</v>
      </c>
      <c r="F52" s="1" t="s">
        <v>25</v>
      </c>
      <c r="G52" s="1">
        <v>26900</v>
      </c>
      <c r="H52" s="1" t="s">
        <v>41</v>
      </c>
      <c r="I52" s="1" t="s">
        <v>289</v>
      </c>
      <c r="J52" s="1" t="s">
        <v>290</v>
      </c>
      <c r="K52" s="1" t="s">
        <v>99</v>
      </c>
      <c r="L52" s="1" t="s">
        <v>68</v>
      </c>
      <c r="M52" s="1" t="s">
        <v>166</v>
      </c>
      <c r="O52" s="1" t="s">
        <v>70</v>
      </c>
      <c r="P52" s="1">
        <v>8000</v>
      </c>
      <c r="Q52" s="1">
        <v>2023</v>
      </c>
      <c r="R52" s="1">
        <v>202410</v>
      </c>
      <c r="S52" s="1" t="s">
        <v>157</v>
      </c>
      <c r="T52" s="1" t="s">
        <v>158</v>
      </c>
    </row>
    <row r="53" spans="1:20" x14ac:dyDescent="0.15">
      <c r="A53" s="1" t="s">
        <v>291</v>
      </c>
      <c r="B53" s="1" t="s">
        <v>217</v>
      </c>
      <c r="C53" s="1" t="s">
        <v>292</v>
      </c>
      <c r="D53" s="1" t="s">
        <v>23</v>
      </c>
      <c r="E53" s="1" t="s">
        <v>73</v>
      </c>
      <c r="F53" s="1" t="s">
        <v>25</v>
      </c>
      <c r="G53" s="1">
        <v>34500</v>
      </c>
      <c r="H53" s="1" t="s">
        <v>41</v>
      </c>
      <c r="I53" s="1" t="s">
        <v>293</v>
      </c>
      <c r="J53" s="1" t="s">
        <v>294</v>
      </c>
      <c r="K53" s="1" t="s">
        <v>138</v>
      </c>
      <c r="L53" s="1" t="s">
        <v>30</v>
      </c>
      <c r="M53" s="1" t="s">
        <v>31</v>
      </c>
      <c r="N53" s="1" t="s">
        <v>156</v>
      </c>
      <c r="O53" s="1" t="s">
        <v>70</v>
      </c>
      <c r="P53" s="1">
        <v>5000</v>
      </c>
      <c r="Q53" s="1">
        <v>2024</v>
      </c>
      <c r="R53" s="1">
        <v>202411</v>
      </c>
      <c r="S53" s="1" t="s">
        <v>179</v>
      </c>
      <c r="T53" s="1" t="s">
        <v>158</v>
      </c>
    </row>
    <row r="54" spans="1:20" x14ac:dyDescent="0.15">
      <c r="A54" s="1" t="s">
        <v>295</v>
      </c>
      <c r="B54" s="1" t="s">
        <v>255</v>
      </c>
      <c r="C54" s="1" t="s">
        <v>296</v>
      </c>
      <c r="D54" s="1" t="s">
        <v>90</v>
      </c>
      <c r="E54" s="1" t="s">
        <v>91</v>
      </c>
      <c r="F54" s="1" t="s">
        <v>25</v>
      </c>
      <c r="G54" s="1">
        <v>29800</v>
      </c>
      <c r="H54" s="1" t="s">
        <v>41</v>
      </c>
      <c r="I54" s="1" t="s">
        <v>297</v>
      </c>
      <c r="J54" s="1" t="s">
        <v>298</v>
      </c>
      <c r="K54" s="1" t="s">
        <v>67</v>
      </c>
      <c r="L54" s="1" t="s">
        <v>68</v>
      </c>
      <c r="M54" s="1" t="s">
        <v>31</v>
      </c>
      <c r="N54" s="1" t="s">
        <v>53</v>
      </c>
      <c r="O54" s="1" t="s">
        <v>143</v>
      </c>
      <c r="P54" s="1">
        <v>9000</v>
      </c>
      <c r="Q54" s="1">
        <v>2023</v>
      </c>
      <c r="R54" s="1">
        <v>202411</v>
      </c>
      <c r="S54" s="1" t="s">
        <v>179</v>
      </c>
      <c r="T54" s="1" t="s">
        <v>158</v>
      </c>
    </row>
    <row r="55" spans="1:20" x14ac:dyDescent="0.15">
      <c r="A55" s="1" t="s">
        <v>299</v>
      </c>
      <c r="B55" s="1" t="s">
        <v>244</v>
      </c>
      <c r="C55" s="1" t="s">
        <v>300</v>
      </c>
      <c r="D55" s="1" t="s">
        <v>23</v>
      </c>
      <c r="E55" s="1" t="s">
        <v>73</v>
      </c>
      <c r="F55" s="1" t="s">
        <v>111</v>
      </c>
      <c r="G55" s="1">
        <v>69900</v>
      </c>
      <c r="H55" s="1" t="s">
        <v>229</v>
      </c>
      <c r="I55" s="1" t="s">
        <v>301</v>
      </c>
      <c r="J55" s="1" t="s">
        <v>302</v>
      </c>
      <c r="K55" s="1" t="s">
        <v>248</v>
      </c>
      <c r="L55" s="1" t="s">
        <v>52</v>
      </c>
      <c r="M55" s="1" t="s">
        <v>31</v>
      </c>
      <c r="N55" s="1" t="s">
        <v>190</v>
      </c>
      <c r="O55" s="1" t="s">
        <v>33</v>
      </c>
      <c r="P55" s="1">
        <v>6000</v>
      </c>
      <c r="Q55" s="1">
        <v>2023</v>
      </c>
      <c r="R55" s="1">
        <v>202412</v>
      </c>
      <c r="S55" s="1" t="s">
        <v>197</v>
      </c>
      <c r="T55" s="1" t="s">
        <v>158</v>
      </c>
    </row>
    <row r="56" spans="1:20" x14ac:dyDescent="0.15">
      <c r="A56" s="1" t="s">
        <v>303</v>
      </c>
      <c r="B56" s="1" t="s">
        <v>212</v>
      </c>
      <c r="C56" s="1" t="s">
        <v>304</v>
      </c>
      <c r="D56" s="1" t="s">
        <v>262</v>
      </c>
      <c r="E56" s="1" t="s">
        <v>305</v>
      </c>
      <c r="F56" s="1" t="s">
        <v>25</v>
      </c>
      <c r="G56" s="1">
        <v>115900</v>
      </c>
      <c r="H56" s="1" t="s">
        <v>264</v>
      </c>
      <c r="I56" s="1" t="s">
        <v>306</v>
      </c>
      <c r="J56" s="1" t="s">
        <v>307</v>
      </c>
      <c r="K56" s="1" t="s">
        <v>183</v>
      </c>
      <c r="L56" s="1" t="s">
        <v>85</v>
      </c>
      <c r="M56" s="1" t="s">
        <v>31</v>
      </c>
      <c r="N56" s="1" t="s">
        <v>128</v>
      </c>
      <c r="O56" s="1" t="s">
        <v>46</v>
      </c>
      <c r="P56" s="1">
        <v>2500</v>
      </c>
      <c r="Q56" s="1">
        <v>2024</v>
      </c>
      <c r="R56" s="1">
        <v>202412</v>
      </c>
      <c r="S56" s="1" t="s">
        <v>197</v>
      </c>
      <c r="T56" s="1" t="s">
        <v>158</v>
      </c>
    </row>
    <row r="57" spans="1:20" x14ac:dyDescent="0.15">
      <c r="A57" s="1" t="s">
        <v>308</v>
      </c>
      <c r="B57" s="1" t="s">
        <v>222</v>
      </c>
      <c r="C57" s="1" t="s">
        <v>223</v>
      </c>
      <c r="D57" s="1" t="s">
        <v>90</v>
      </c>
      <c r="E57" s="1" t="s">
        <v>91</v>
      </c>
      <c r="F57" s="1" t="s">
        <v>25</v>
      </c>
      <c r="G57" s="1">
        <v>41200</v>
      </c>
      <c r="H57" s="1" t="s">
        <v>92</v>
      </c>
      <c r="I57" s="1" t="s">
        <v>236</v>
      </c>
      <c r="J57" s="1" t="s">
        <v>237</v>
      </c>
      <c r="K57" s="1" t="s">
        <v>84</v>
      </c>
      <c r="L57" s="1" t="s">
        <v>85</v>
      </c>
      <c r="M57" s="1" t="s">
        <v>31</v>
      </c>
      <c r="N57" s="1" t="s">
        <v>86</v>
      </c>
      <c r="O57" s="1" t="s">
        <v>46</v>
      </c>
      <c r="P57" s="1">
        <v>29000</v>
      </c>
      <c r="Q57" s="1">
        <v>2020</v>
      </c>
      <c r="R57" s="1">
        <v>202403</v>
      </c>
      <c r="S57" s="1" t="s">
        <v>55</v>
      </c>
      <c r="T57" s="1" t="s">
        <v>35</v>
      </c>
    </row>
    <row r="58" spans="1:20" x14ac:dyDescent="0.15">
      <c r="A58" s="1" t="s">
        <v>309</v>
      </c>
      <c r="B58" s="1" t="s">
        <v>255</v>
      </c>
      <c r="C58" s="1" t="s">
        <v>278</v>
      </c>
      <c r="D58" s="1" t="s">
        <v>104</v>
      </c>
      <c r="E58" s="1" t="s">
        <v>91</v>
      </c>
      <c r="F58" s="1" t="s">
        <v>25</v>
      </c>
      <c r="G58" s="1">
        <v>22900</v>
      </c>
      <c r="H58" s="1" t="s">
        <v>26</v>
      </c>
      <c r="I58" s="1" t="s">
        <v>279</v>
      </c>
      <c r="J58" s="1" t="s">
        <v>280</v>
      </c>
      <c r="K58" s="1" t="s">
        <v>67</v>
      </c>
      <c r="L58" s="1" t="s">
        <v>68</v>
      </c>
      <c r="M58" s="1" t="s">
        <v>31</v>
      </c>
      <c r="N58" s="1" t="s">
        <v>281</v>
      </c>
      <c r="O58" s="1" t="s">
        <v>33</v>
      </c>
      <c r="P58" s="1">
        <v>19000</v>
      </c>
      <c r="Q58" s="1">
        <v>2021</v>
      </c>
      <c r="R58" s="1">
        <v>202409</v>
      </c>
      <c r="S58" s="1" t="s">
        <v>134</v>
      </c>
      <c r="T58" s="1" t="s">
        <v>79</v>
      </c>
    </row>
    <row r="59" spans="1:20" x14ac:dyDescent="0.15">
      <c r="A59" s="1" t="s">
        <v>310</v>
      </c>
      <c r="B59" s="1" t="s">
        <v>212</v>
      </c>
      <c r="C59" s="1" t="s">
        <v>250</v>
      </c>
      <c r="D59" s="1" t="s">
        <v>90</v>
      </c>
      <c r="E59" s="1" t="s">
        <v>91</v>
      </c>
      <c r="F59" s="1" t="s">
        <v>25</v>
      </c>
      <c r="G59" s="1">
        <v>51200</v>
      </c>
      <c r="H59" s="1" t="s">
        <v>92</v>
      </c>
      <c r="I59" s="1" t="s">
        <v>251</v>
      </c>
      <c r="J59" s="1" t="s">
        <v>252</v>
      </c>
      <c r="K59" s="1" t="s">
        <v>183</v>
      </c>
      <c r="L59" s="1" t="s">
        <v>85</v>
      </c>
      <c r="M59" s="1" t="s">
        <v>31</v>
      </c>
      <c r="N59" s="1" t="s">
        <v>253</v>
      </c>
      <c r="O59" s="1" t="s">
        <v>61</v>
      </c>
      <c r="P59" s="1">
        <v>30000</v>
      </c>
      <c r="Q59" s="1">
        <v>2020</v>
      </c>
      <c r="R59" s="1">
        <v>202407</v>
      </c>
      <c r="S59" s="1" t="s">
        <v>78</v>
      </c>
      <c r="T59" s="1" t="s">
        <v>79</v>
      </c>
    </row>
    <row r="60" spans="1:20" x14ac:dyDescent="0.15">
      <c r="A60" s="1" t="s">
        <v>311</v>
      </c>
      <c r="B60" s="1" t="s">
        <v>222</v>
      </c>
      <c r="C60" s="1" t="s">
        <v>283</v>
      </c>
      <c r="D60" s="1" t="s">
        <v>90</v>
      </c>
      <c r="E60" s="1" t="s">
        <v>91</v>
      </c>
      <c r="F60" s="1" t="s">
        <v>25</v>
      </c>
      <c r="G60" s="1">
        <v>27900</v>
      </c>
      <c r="H60" s="1" t="s">
        <v>41</v>
      </c>
      <c r="I60" s="1" t="s">
        <v>284</v>
      </c>
      <c r="J60" s="1" t="s">
        <v>285</v>
      </c>
      <c r="K60" s="1" t="s">
        <v>142</v>
      </c>
      <c r="L60" s="1" t="s">
        <v>85</v>
      </c>
      <c r="M60" s="1" t="s">
        <v>31</v>
      </c>
      <c r="N60" s="1" t="s">
        <v>286</v>
      </c>
      <c r="O60" s="1" t="s">
        <v>54</v>
      </c>
      <c r="P60" s="1">
        <v>13000</v>
      </c>
      <c r="Q60" s="1">
        <v>2023</v>
      </c>
      <c r="R60" s="1">
        <v>202410</v>
      </c>
      <c r="S60" s="1" t="s">
        <v>157</v>
      </c>
      <c r="T60" s="1" t="s">
        <v>158</v>
      </c>
    </row>
    <row r="61" spans="1:20" x14ac:dyDescent="0.15">
      <c r="A61" s="1" t="s">
        <v>312</v>
      </c>
      <c r="B61" s="1" t="s">
        <v>222</v>
      </c>
      <c r="C61" s="1" t="s">
        <v>223</v>
      </c>
      <c r="D61" s="1" t="s">
        <v>90</v>
      </c>
      <c r="E61" s="1" t="s">
        <v>91</v>
      </c>
      <c r="F61" s="1" t="s">
        <v>25</v>
      </c>
      <c r="G61" s="1">
        <v>41200</v>
      </c>
      <c r="H61" s="1" t="s">
        <v>92</v>
      </c>
      <c r="I61" s="1" t="s">
        <v>236</v>
      </c>
      <c r="J61" s="1" t="s">
        <v>237</v>
      </c>
      <c r="K61" s="1" t="s">
        <v>84</v>
      </c>
      <c r="L61" s="1" t="s">
        <v>85</v>
      </c>
      <c r="M61" s="1" t="s">
        <v>31</v>
      </c>
      <c r="N61" s="1" t="s">
        <v>86</v>
      </c>
      <c r="O61" s="1" t="s">
        <v>46</v>
      </c>
      <c r="P61" s="1">
        <v>29000</v>
      </c>
      <c r="Q61" s="1">
        <v>2020</v>
      </c>
      <c r="R61" s="1">
        <v>202403</v>
      </c>
      <c r="S61" s="1" t="s">
        <v>55</v>
      </c>
      <c r="T61" s="1" t="s">
        <v>35</v>
      </c>
    </row>
    <row r="62" spans="1:20" x14ac:dyDescent="0.15">
      <c r="A62" s="1" t="s">
        <v>313</v>
      </c>
      <c r="B62" s="1" t="s">
        <v>212</v>
      </c>
      <c r="C62" s="1" t="s">
        <v>304</v>
      </c>
      <c r="D62" s="1" t="s">
        <v>262</v>
      </c>
      <c r="E62" s="1" t="s">
        <v>305</v>
      </c>
      <c r="F62" s="1" t="s">
        <v>25</v>
      </c>
      <c r="G62" s="1">
        <v>115900</v>
      </c>
      <c r="H62" s="1" t="s">
        <v>264</v>
      </c>
      <c r="I62" s="1" t="s">
        <v>306</v>
      </c>
      <c r="J62" s="1" t="s">
        <v>307</v>
      </c>
      <c r="K62" s="1" t="s">
        <v>183</v>
      </c>
      <c r="L62" s="1" t="s">
        <v>85</v>
      </c>
      <c r="M62" s="1" t="s">
        <v>31</v>
      </c>
      <c r="N62" s="1" t="s">
        <v>128</v>
      </c>
      <c r="O62" s="1" t="s">
        <v>46</v>
      </c>
      <c r="P62" s="1">
        <v>2500</v>
      </c>
      <c r="Q62" s="1">
        <v>2024</v>
      </c>
      <c r="R62" s="1">
        <v>202412</v>
      </c>
      <c r="S62" s="1" t="s">
        <v>197</v>
      </c>
      <c r="T62" s="1" t="s">
        <v>158</v>
      </c>
    </row>
    <row r="63" spans="1:20" x14ac:dyDescent="0.15">
      <c r="A63" s="1" t="s">
        <v>314</v>
      </c>
      <c r="B63" s="1" t="s">
        <v>273</v>
      </c>
      <c r="C63" s="1" t="s">
        <v>274</v>
      </c>
      <c r="D63" s="1" t="s">
        <v>90</v>
      </c>
      <c r="E63" s="1" t="s">
        <v>91</v>
      </c>
      <c r="F63" s="1" t="s">
        <v>25</v>
      </c>
      <c r="G63" s="1">
        <v>35200</v>
      </c>
      <c r="H63" s="1" t="s">
        <v>41</v>
      </c>
      <c r="I63" s="1" t="s">
        <v>275</v>
      </c>
      <c r="J63" s="1" t="s">
        <v>276</v>
      </c>
      <c r="K63" s="1" t="s">
        <v>99</v>
      </c>
      <c r="L63" s="1" t="s">
        <v>68</v>
      </c>
      <c r="M63" s="1" t="s">
        <v>31</v>
      </c>
      <c r="N63" s="1" t="s">
        <v>60</v>
      </c>
      <c r="O63" s="1" t="s">
        <v>46</v>
      </c>
      <c r="P63" s="1">
        <v>25000</v>
      </c>
      <c r="Q63" s="1">
        <v>2020</v>
      </c>
      <c r="R63" s="1">
        <v>202409</v>
      </c>
      <c r="S63" s="1" t="s">
        <v>134</v>
      </c>
      <c r="T63" s="1" t="s">
        <v>79</v>
      </c>
    </row>
    <row r="64" spans="1:20" x14ac:dyDescent="0.15">
      <c r="A64" s="1" t="s">
        <v>315</v>
      </c>
      <c r="B64" s="1" t="s">
        <v>217</v>
      </c>
      <c r="C64" s="1" t="s">
        <v>292</v>
      </c>
      <c r="D64" s="1" t="s">
        <v>23</v>
      </c>
      <c r="E64" s="1" t="s">
        <v>73</v>
      </c>
      <c r="F64" s="1" t="s">
        <v>25</v>
      </c>
      <c r="G64" s="1">
        <v>34500</v>
      </c>
      <c r="H64" s="1" t="s">
        <v>41</v>
      </c>
      <c r="I64" s="1" t="s">
        <v>293</v>
      </c>
      <c r="J64" s="1" t="s">
        <v>294</v>
      </c>
      <c r="K64" s="1" t="s">
        <v>138</v>
      </c>
      <c r="L64" s="1" t="s">
        <v>30</v>
      </c>
      <c r="M64" s="1" t="s">
        <v>31</v>
      </c>
      <c r="N64" s="1" t="s">
        <v>156</v>
      </c>
      <c r="O64" s="1" t="s">
        <v>70</v>
      </c>
      <c r="P64" s="1">
        <v>5000</v>
      </c>
      <c r="Q64" s="1">
        <v>2024</v>
      </c>
      <c r="R64" s="1">
        <v>202411</v>
      </c>
      <c r="S64" s="1" t="s">
        <v>179</v>
      </c>
      <c r="T64" s="1" t="s">
        <v>158</v>
      </c>
    </row>
    <row r="65" spans="1:20" x14ac:dyDescent="0.15">
      <c r="A65" s="1" t="s">
        <v>316</v>
      </c>
      <c r="B65" s="1" t="s">
        <v>255</v>
      </c>
      <c r="C65" s="1" t="s">
        <v>296</v>
      </c>
      <c r="D65" s="1" t="s">
        <v>90</v>
      </c>
      <c r="E65" s="1" t="s">
        <v>91</v>
      </c>
      <c r="F65" s="1" t="s">
        <v>25</v>
      </c>
      <c r="G65" s="1">
        <v>29800</v>
      </c>
      <c r="H65" s="1" t="s">
        <v>41</v>
      </c>
      <c r="I65" s="1" t="s">
        <v>297</v>
      </c>
      <c r="J65" s="1" t="s">
        <v>298</v>
      </c>
      <c r="K65" s="1" t="s">
        <v>67</v>
      </c>
      <c r="L65" s="1" t="s">
        <v>68</v>
      </c>
      <c r="M65" s="1" t="s">
        <v>31</v>
      </c>
      <c r="N65" s="1" t="s">
        <v>53</v>
      </c>
      <c r="O65" s="1" t="s">
        <v>143</v>
      </c>
      <c r="P65" s="1">
        <v>9000</v>
      </c>
      <c r="Q65" s="1">
        <v>2023</v>
      </c>
      <c r="R65" s="1">
        <v>202411</v>
      </c>
      <c r="S65" s="1" t="s">
        <v>179</v>
      </c>
      <c r="T65" s="1" t="s">
        <v>158</v>
      </c>
    </row>
    <row r="66" spans="1:20" x14ac:dyDescent="0.15">
      <c r="A66" s="1" t="s">
        <v>317</v>
      </c>
      <c r="B66" s="1" t="s">
        <v>222</v>
      </c>
      <c r="C66" s="1" t="s">
        <v>283</v>
      </c>
      <c r="D66" s="1" t="s">
        <v>104</v>
      </c>
      <c r="E66" s="1" t="s">
        <v>91</v>
      </c>
      <c r="F66" s="1" t="s">
        <v>25</v>
      </c>
      <c r="G66" s="1">
        <v>27900</v>
      </c>
      <c r="H66" s="1" t="s">
        <v>41</v>
      </c>
      <c r="I66" s="1" t="s">
        <v>284</v>
      </c>
      <c r="J66" s="1" t="s">
        <v>285</v>
      </c>
      <c r="K66" s="1" t="s">
        <v>142</v>
      </c>
      <c r="L66" s="1" t="s">
        <v>85</v>
      </c>
      <c r="M66" s="1" t="s">
        <v>31</v>
      </c>
      <c r="N66" s="1" t="s">
        <v>286</v>
      </c>
      <c r="O66" s="1" t="s">
        <v>54</v>
      </c>
      <c r="P66" s="1">
        <v>13000</v>
      </c>
      <c r="Q66" s="1">
        <v>2023</v>
      </c>
      <c r="R66" s="1">
        <v>202410</v>
      </c>
      <c r="S66" s="1" t="s">
        <v>157</v>
      </c>
      <c r="T66" s="1" t="s">
        <v>158</v>
      </c>
    </row>
    <row r="67" spans="1:20" x14ac:dyDescent="0.15">
      <c r="A67" s="1" t="s">
        <v>318</v>
      </c>
      <c r="B67" s="1" t="s">
        <v>222</v>
      </c>
      <c r="C67" s="1" t="s">
        <v>223</v>
      </c>
      <c r="D67" s="1" t="s">
        <v>90</v>
      </c>
      <c r="E67" s="1" t="s">
        <v>91</v>
      </c>
      <c r="F67" s="1" t="s">
        <v>25</v>
      </c>
      <c r="G67" s="1">
        <v>38900</v>
      </c>
      <c r="H67" s="1" t="s">
        <v>41</v>
      </c>
      <c r="I67" s="1" t="s">
        <v>224</v>
      </c>
      <c r="J67" s="1" t="s">
        <v>225</v>
      </c>
      <c r="K67" s="1" t="s">
        <v>142</v>
      </c>
      <c r="L67" s="1" t="s">
        <v>85</v>
      </c>
      <c r="M67" s="1" t="s">
        <v>31</v>
      </c>
      <c r="N67" s="1" t="s">
        <v>86</v>
      </c>
      <c r="O67" s="1" t="s">
        <v>101</v>
      </c>
      <c r="P67" s="1">
        <v>35000</v>
      </c>
      <c r="Q67" s="1">
        <v>2020</v>
      </c>
      <c r="R67" s="1">
        <v>202402</v>
      </c>
      <c r="S67" s="1" t="s">
        <v>47</v>
      </c>
      <c r="T67" s="1" t="s">
        <v>35</v>
      </c>
    </row>
    <row r="68" spans="1:20" x14ac:dyDescent="0.15">
      <c r="A68" s="1" t="s">
        <v>319</v>
      </c>
      <c r="B68" s="1" t="s">
        <v>255</v>
      </c>
      <c r="C68" s="1" t="s">
        <v>296</v>
      </c>
      <c r="D68" s="1" t="s">
        <v>90</v>
      </c>
      <c r="E68" s="1" t="s">
        <v>91</v>
      </c>
      <c r="F68" s="1" t="s">
        <v>25</v>
      </c>
      <c r="G68" s="1">
        <v>29800</v>
      </c>
      <c r="H68" s="1" t="s">
        <v>41</v>
      </c>
      <c r="I68" s="1" t="s">
        <v>297</v>
      </c>
      <c r="J68" s="1" t="s">
        <v>298</v>
      </c>
      <c r="K68" s="1" t="s">
        <v>67</v>
      </c>
      <c r="L68" s="1" t="s">
        <v>68</v>
      </c>
      <c r="M68" s="1" t="s">
        <v>31</v>
      </c>
      <c r="N68" s="1" t="s">
        <v>53</v>
      </c>
      <c r="O68" s="1" t="s">
        <v>143</v>
      </c>
      <c r="P68" s="1">
        <v>9000</v>
      </c>
      <c r="Q68" s="1">
        <v>2023</v>
      </c>
      <c r="R68" s="1">
        <v>202411</v>
      </c>
      <c r="S68" s="1" t="s">
        <v>179</v>
      </c>
      <c r="T68" s="1" t="s">
        <v>158</v>
      </c>
    </row>
    <row r="69" spans="1:20" x14ac:dyDescent="0.15">
      <c r="A69" s="1" t="s">
        <v>320</v>
      </c>
      <c r="B69" s="1" t="s">
        <v>217</v>
      </c>
      <c r="C69" s="1" t="s">
        <v>218</v>
      </c>
      <c r="D69" s="1" t="s">
        <v>23</v>
      </c>
      <c r="E69" s="1" t="s">
        <v>24</v>
      </c>
      <c r="F69" s="1" t="s">
        <v>25</v>
      </c>
      <c r="G69" s="1">
        <v>22900</v>
      </c>
      <c r="H69" s="1" t="s">
        <v>26</v>
      </c>
      <c r="I69" s="1" t="s">
        <v>219</v>
      </c>
      <c r="J69" s="1" t="s">
        <v>220</v>
      </c>
      <c r="K69" s="1" t="s">
        <v>44</v>
      </c>
      <c r="L69" s="1" t="s">
        <v>30</v>
      </c>
      <c r="M69" s="1" t="s">
        <v>31</v>
      </c>
      <c r="N69" s="1" t="s">
        <v>156</v>
      </c>
      <c r="O69" s="1" t="s">
        <v>70</v>
      </c>
      <c r="P69" s="1">
        <v>12000</v>
      </c>
      <c r="Q69" s="1">
        <v>2022</v>
      </c>
      <c r="R69" s="1">
        <v>202402</v>
      </c>
      <c r="S69" s="1" t="s">
        <v>47</v>
      </c>
      <c r="T69" s="1" t="s">
        <v>35</v>
      </c>
    </row>
    <row r="70" spans="1:20" x14ac:dyDescent="0.15">
      <c r="A70" s="1" t="s">
        <v>321</v>
      </c>
      <c r="B70" s="1" t="s">
        <v>273</v>
      </c>
      <c r="C70" s="1" t="s">
        <v>288</v>
      </c>
      <c r="D70" s="1" t="s">
        <v>23</v>
      </c>
      <c r="E70" s="1" t="s">
        <v>73</v>
      </c>
      <c r="F70" s="1" t="s">
        <v>25</v>
      </c>
      <c r="G70" s="1">
        <v>26900</v>
      </c>
      <c r="H70" s="1" t="s">
        <v>41</v>
      </c>
      <c r="I70" s="1" t="s">
        <v>289</v>
      </c>
      <c r="J70" s="1" t="s">
        <v>290</v>
      </c>
      <c r="K70" s="1" t="s">
        <v>99</v>
      </c>
      <c r="L70" s="1" t="s">
        <v>68</v>
      </c>
      <c r="M70" s="1" t="s">
        <v>166</v>
      </c>
      <c r="O70" s="1" t="s">
        <v>70</v>
      </c>
      <c r="P70" s="1">
        <v>8000</v>
      </c>
      <c r="Q70" s="1">
        <v>2023</v>
      </c>
      <c r="R70" s="1">
        <v>202410</v>
      </c>
      <c r="S70" s="1" t="s">
        <v>157</v>
      </c>
      <c r="T70" s="1" t="s">
        <v>158</v>
      </c>
    </row>
    <row r="71" spans="1:20" x14ac:dyDescent="0.15">
      <c r="A71" s="1" t="s">
        <v>322</v>
      </c>
      <c r="B71" s="1" t="s">
        <v>222</v>
      </c>
      <c r="C71" s="1" t="s">
        <v>283</v>
      </c>
      <c r="D71" s="1" t="s">
        <v>90</v>
      </c>
      <c r="E71" s="1" t="s">
        <v>91</v>
      </c>
      <c r="F71" s="1" t="s">
        <v>25</v>
      </c>
      <c r="G71" s="1">
        <v>27900</v>
      </c>
      <c r="H71" s="1" t="s">
        <v>41</v>
      </c>
      <c r="I71" s="1" t="s">
        <v>284</v>
      </c>
      <c r="J71" s="1" t="s">
        <v>285</v>
      </c>
      <c r="K71" s="1" t="s">
        <v>142</v>
      </c>
      <c r="L71" s="1" t="s">
        <v>85</v>
      </c>
      <c r="M71" s="1" t="s">
        <v>31</v>
      </c>
      <c r="N71" s="1" t="s">
        <v>286</v>
      </c>
      <c r="O71" s="1" t="s">
        <v>54</v>
      </c>
      <c r="P71" s="1">
        <v>13000</v>
      </c>
      <c r="Q71" s="1">
        <v>2023</v>
      </c>
      <c r="R71" s="1">
        <v>202410</v>
      </c>
      <c r="S71" s="1" t="s">
        <v>157</v>
      </c>
      <c r="T71" s="1" t="s">
        <v>158</v>
      </c>
    </row>
    <row r="72" spans="1:20" x14ac:dyDescent="0.15">
      <c r="A72" s="1" t="s">
        <v>323</v>
      </c>
      <c r="B72" s="1" t="s">
        <v>212</v>
      </c>
      <c r="C72" s="1" t="s">
        <v>213</v>
      </c>
      <c r="D72" s="1" t="s">
        <v>23</v>
      </c>
      <c r="E72" s="1" t="s">
        <v>73</v>
      </c>
      <c r="F72" s="1" t="s">
        <v>25</v>
      </c>
      <c r="G72" s="1">
        <v>26800</v>
      </c>
      <c r="H72" s="1" t="s">
        <v>41</v>
      </c>
      <c r="I72" s="1" t="s">
        <v>214</v>
      </c>
      <c r="J72" s="1" t="s">
        <v>215</v>
      </c>
      <c r="L72" s="1" t="s">
        <v>52</v>
      </c>
      <c r="M72" s="1" t="s">
        <v>31</v>
      </c>
      <c r="N72" s="1" t="s">
        <v>60</v>
      </c>
      <c r="O72" s="1" t="s">
        <v>54</v>
      </c>
      <c r="P72" s="1">
        <v>22000</v>
      </c>
      <c r="Q72" s="1">
        <v>2020</v>
      </c>
      <c r="R72" s="1">
        <v>202402</v>
      </c>
      <c r="S72" s="1" t="s">
        <v>47</v>
      </c>
      <c r="T72" s="1" t="s">
        <v>35</v>
      </c>
    </row>
    <row r="73" spans="1:20" x14ac:dyDescent="0.15">
      <c r="A73" s="1" t="s">
        <v>324</v>
      </c>
      <c r="B73" s="1" t="s">
        <v>255</v>
      </c>
      <c r="C73" s="1" t="s">
        <v>296</v>
      </c>
      <c r="D73" s="1" t="s">
        <v>90</v>
      </c>
      <c r="E73" s="1" t="s">
        <v>91</v>
      </c>
      <c r="F73" s="1" t="s">
        <v>25</v>
      </c>
      <c r="G73" s="1">
        <v>29800</v>
      </c>
      <c r="H73" s="1" t="s">
        <v>41</v>
      </c>
      <c r="I73" s="1" t="s">
        <v>297</v>
      </c>
      <c r="J73" s="1" t="s">
        <v>298</v>
      </c>
      <c r="K73" s="1" t="s">
        <v>67</v>
      </c>
      <c r="L73" s="1" t="s">
        <v>68</v>
      </c>
      <c r="M73" s="1" t="s">
        <v>31</v>
      </c>
      <c r="N73" s="1" t="s">
        <v>53</v>
      </c>
      <c r="O73" s="1" t="s">
        <v>143</v>
      </c>
      <c r="P73" s="1">
        <v>9000</v>
      </c>
      <c r="Q73" s="1">
        <v>2023</v>
      </c>
      <c r="R73" s="1">
        <v>202411</v>
      </c>
      <c r="S73" s="1" t="s">
        <v>179</v>
      </c>
      <c r="T73" s="1" t="s">
        <v>158</v>
      </c>
    </row>
    <row r="74" spans="1:20" x14ac:dyDescent="0.15">
      <c r="A74" s="1" t="s">
        <v>325</v>
      </c>
      <c r="B74" s="1" t="s">
        <v>212</v>
      </c>
      <c r="C74" s="1" t="s">
        <v>213</v>
      </c>
      <c r="D74" s="1" t="s">
        <v>23</v>
      </c>
      <c r="E74" s="1" t="s">
        <v>73</v>
      </c>
      <c r="F74" s="1" t="s">
        <v>25</v>
      </c>
      <c r="G74" s="1">
        <v>27500</v>
      </c>
      <c r="H74" s="1" t="s">
        <v>41</v>
      </c>
      <c r="I74" s="1" t="s">
        <v>233</v>
      </c>
      <c r="J74" s="1" t="s">
        <v>234</v>
      </c>
      <c r="K74" s="1" t="s">
        <v>183</v>
      </c>
      <c r="L74" s="1" t="s">
        <v>85</v>
      </c>
      <c r="M74" s="1" t="s">
        <v>31</v>
      </c>
      <c r="N74" s="1" t="s">
        <v>60</v>
      </c>
      <c r="P74" s="1">
        <v>26000</v>
      </c>
      <c r="Q74" s="1">
        <v>2020</v>
      </c>
      <c r="R74" s="1">
        <v>202403</v>
      </c>
      <c r="S74" s="1" t="s">
        <v>55</v>
      </c>
      <c r="T74" s="1" t="s">
        <v>35</v>
      </c>
    </row>
    <row r="75" spans="1:20" x14ac:dyDescent="0.15">
      <c r="A75" s="1" t="s">
        <v>326</v>
      </c>
      <c r="B75" s="1" t="s">
        <v>212</v>
      </c>
      <c r="C75" s="1" t="s">
        <v>213</v>
      </c>
      <c r="D75" s="1" t="s">
        <v>23</v>
      </c>
      <c r="E75" s="1" t="s">
        <v>73</v>
      </c>
      <c r="F75" s="1" t="s">
        <v>25</v>
      </c>
      <c r="G75" s="1">
        <v>26800</v>
      </c>
      <c r="H75" s="1" t="s">
        <v>41</v>
      </c>
      <c r="I75" s="1" t="s">
        <v>214</v>
      </c>
      <c r="J75" s="1" t="s">
        <v>215</v>
      </c>
      <c r="L75" s="1" t="s">
        <v>52</v>
      </c>
      <c r="M75" s="1" t="s">
        <v>31</v>
      </c>
      <c r="N75" s="1" t="s">
        <v>60</v>
      </c>
      <c r="O75" s="1" t="s">
        <v>54</v>
      </c>
      <c r="P75" s="1">
        <v>22000</v>
      </c>
      <c r="Q75" s="1">
        <v>2020</v>
      </c>
      <c r="R75" s="1">
        <v>202402</v>
      </c>
      <c r="S75" s="1" t="s">
        <v>47</v>
      </c>
      <c r="T75" s="1" t="s">
        <v>35</v>
      </c>
    </row>
    <row r="76" spans="1:20" x14ac:dyDescent="0.15">
      <c r="A76" s="1" t="s">
        <v>327</v>
      </c>
      <c r="B76" s="1" t="s">
        <v>222</v>
      </c>
      <c r="C76" s="1" t="s">
        <v>283</v>
      </c>
      <c r="D76" s="1" t="s">
        <v>104</v>
      </c>
      <c r="E76" s="1" t="s">
        <v>91</v>
      </c>
      <c r="F76" s="1" t="s">
        <v>25</v>
      </c>
      <c r="G76" s="1">
        <v>27900</v>
      </c>
      <c r="H76" s="1" t="s">
        <v>41</v>
      </c>
      <c r="I76" s="1" t="s">
        <v>284</v>
      </c>
      <c r="J76" s="1" t="s">
        <v>285</v>
      </c>
      <c r="K76" s="1" t="s">
        <v>142</v>
      </c>
      <c r="L76" s="1" t="s">
        <v>85</v>
      </c>
      <c r="M76" s="1" t="s">
        <v>31</v>
      </c>
      <c r="N76" s="1" t="s">
        <v>286</v>
      </c>
      <c r="O76" s="1" t="s">
        <v>54</v>
      </c>
      <c r="P76" s="1">
        <v>13000</v>
      </c>
      <c r="Q76" s="1">
        <v>2023</v>
      </c>
      <c r="R76" s="1">
        <v>202410</v>
      </c>
      <c r="S76" s="1" t="s">
        <v>157</v>
      </c>
      <c r="T76" s="1" t="s">
        <v>158</v>
      </c>
    </row>
    <row r="77" spans="1:20" x14ac:dyDescent="0.15">
      <c r="A77" s="1" t="s">
        <v>328</v>
      </c>
      <c r="B77" s="1" t="s">
        <v>207</v>
      </c>
      <c r="C77" s="1" t="s">
        <v>208</v>
      </c>
      <c r="D77" s="1" t="s">
        <v>23</v>
      </c>
      <c r="E77" s="1" t="s">
        <v>24</v>
      </c>
      <c r="F77" s="1" t="s">
        <v>25</v>
      </c>
      <c r="G77" s="1">
        <v>24500</v>
      </c>
      <c r="H77" s="1" t="s">
        <v>26</v>
      </c>
      <c r="I77" s="1" t="s">
        <v>209</v>
      </c>
      <c r="J77" s="1" t="s">
        <v>210</v>
      </c>
      <c r="K77" s="1" t="s">
        <v>147</v>
      </c>
      <c r="L77" s="1" t="s">
        <v>52</v>
      </c>
      <c r="M77" s="1" t="s">
        <v>31</v>
      </c>
      <c r="N77" s="1" t="s">
        <v>53</v>
      </c>
      <c r="O77" s="1" t="s">
        <v>61</v>
      </c>
      <c r="P77" s="1">
        <v>15000</v>
      </c>
      <c r="Q77" s="1">
        <v>2021</v>
      </c>
      <c r="R77" s="1">
        <v>202401</v>
      </c>
      <c r="S77" s="1" t="s">
        <v>34</v>
      </c>
      <c r="T77" s="1" t="s">
        <v>35</v>
      </c>
    </row>
    <row r="78" spans="1:20" x14ac:dyDescent="0.15">
      <c r="A78" s="1" t="s">
        <v>329</v>
      </c>
      <c r="B78" s="1" t="s">
        <v>212</v>
      </c>
      <c r="C78" s="1" t="s">
        <v>304</v>
      </c>
      <c r="D78" s="1" t="s">
        <v>262</v>
      </c>
      <c r="E78" s="1" t="s">
        <v>305</v>
      </c>
      <c r="F78" s="1" t="s">
        <v>25</v>
      </c>
      <c r="G78" s="1">
        <v>115900</v>
      </c>
      <c r="H78" s="1" t="s">
        <v>264</v>
      </c>
      <c r="I78" s="1" t="s">
        <v>306</v>
      </c>
      <c r="J78" s="1" t="s">
        <v>307</v>
      </c>
      <c r="K78" s="1" t="s">
        <v>183</v>
      </c>
      <c r="L78" s="1" t="s">
        <v>85</v>
      </c>
      <c r="M78" s="1" t="s">
        <v>31</v>
      </c>
      <c r="N78" s="1" t="s">
        <v>128</v>
      </c>
      <c r="O78" s="1" t="s">
        <v>46</v>
      </c>
      <c r="P78" s="1">
        <v>2500</v>
      </c>
      <c r="Q78" s="1">
        <v>2024</v>
      </c>
      <c r="R78" s="1">
        <v>202412</v>
      </c>
      <c r="S78" s="1" t="s">
        <v>197</v>
      </c>
      <c r="T78" s="1" t="s">
        <v>158</v>
      </c>
    </row>
    <row r="79" spans="1:20" x14ac:dyDescent="0.15">
      <c r="A79" s="1" t="s">
        <v>330</v>
      </c>
      <c r="B79" s="1" t="s">
        <v>273</v>
      </c>
      <c r="C79" s="1" t="s">
        <v>288</v>
      </c>
      <c r="D79" s="1" t="s">
        <v>23</v>
      </c>
      <c r="E79" s="1" t="s">
        <v>73</v>
      </c>
      <c r="F79" s="1" t="s">
        <v>25</v>
      </c>
      <c r="G79" s="1">
        <v>26900</v>
      </c>
      <c r="H79" s="1" t="s">
        <v>41</v>
      </c>
      <c r="I79" s="1" t="s">
        <v>289</v>
      </c>
      <c r="J79" s="1" t="s">
        <v>290</v>
      </c>
      <c r="K79" s="1" t="s">
        <v>99</v>
      </c>
      <c r="L79" s="1" t="s">
        <v>68</v>
      </c>
      <c r="M79" s="1" t="s">
        <v>166</v>
      </c>
      <c r="O79" s="1" t="s">
        <v>70</v>
      </c>
      <c r="P79" s="1">
        <v>8000</v>
      </c>
      <c r="Q79" s="1">
        <v>2023</v>
      </c>
      <c r="R79" s="1">
        <v>202410</v>
      </c>
      <c r="S79" s="1" t="s">
        <v>157</v>
      </c>
      <c r="T79" s="1" t="s">
        <v>158</v>
      </c>
    </row>
    <row r="80" spans="1:20" x14ac:dyDescent="0.15">
      <c r="A80" s="1" t="s">
        <v>331</v>
      </c>
      <c r="B80" s="1" t="s">
        <v>244</v>
      </c>
      <c r="C80" s="1" t="s">
        <v>300</v>
      </c>
      <c r="D80" s="1" t="s">
        <v>23</v>
      </c>
      <c r="E80" s="1" t="s">
        <v>73</v>
      </c>
      <c r="F80" s="1" t="s">
        <v>111</v>
      </c>
      <c r="G80" s="1">
        <v>69900</v>
      </c>
      <c r="H80" s="1" t="s">
        <v>229</v>
      </c>
      <c r="I80" s="1" t="s">
        <v>301</v>
      </c>
      <c r="J80" s="1" t="s">
        <v>302</v>
      </c>
      <c r="K80" s="1" t="s">
        <v>248</v>
      </c>
      <c r="L80" s="1" t="s">
        <v>52</v>
      </c>
      <c r="M80" s="1" t="s">
        <v>31</v>
      </c>
      <c r="N80" s="1" t="s">
        <v>190</v>
      </c>
      <c r="O80" s="1" t="s">
        <v>33</v>
      </c>
      <c r="P80" s="1">
        <v>6000</v>
      </c>
      <c r="Q80" s="1">
        <v>2023</v>
      </c>
      <c r="R80" s="1">
        <v>202412</v>
      </c>
      <c r="S80" s="1" t="s">
        <v>197</v>
      </c>
      <c r="T80" s="1" t="s">
        <v>158</v>
      </c>
    </row>
    <row r="81" spans="1:20" x14ac:dyDescent="0.15">
      <c r="A81" s="1" t="s">
        <v>332</v>
      </c>
      <c r="B81" s="1" t="s">
        <v>244</v>
      </c>
      <c r="C81" s="1" t="s">
        <v>261</v>
      </c>
      <c r="D81" s="1" t="s">
        <v>262</v>
      </c>
      <c r="E81" s="1" t="s">
        <v>263</v>
      </c>
      <c r="F81" s="1" t="s">
        <v>111</v>
      </c>
      <c r="G81" s="1">
        <v>99900</v>
      </c>
      <c r="H81" s="1" t="s">
        <v>264</v>
      </c>
      <c r="I81" s="1" t="s">
        <v>265</v>
      </c>
      <c r="J81" s="1" t="s">
        <v>266</v>
      </c>
      <c r="K81" s="1" t="s">
        <v>248</v>
      </c>
      <c r="L81" s="1" t="s">
        <v>52</v>
      </c>
      <c r="M81" s="1" t="s">
        <v>31</v>
      </c>
      <c r="N81" s="1" t="s">
        <v>190</v>
      </c>
      <c r="O81" s="1" t="s">
        <v>61</v>
      </c>
      <c r="P81" s="1">
        <v>18000</v>
      </c>
      <c r="Q81" s="1">
        <v>2022</v>
      </c>
      <c r="R81" s="1">
        <v>202407</v>
      </c>
      <c r="S81" s="1" t="s">
        <v>78</v>
      </c>
      <c r="T81" s="1" t="s">
        <v>79</v>
      </c>
    </row>
    <row r="82" spans="1:20" x14ac:dyDescent="0.15">
      <c r="A82" s="1" t="s">
        <v>333</v>
      </c>
      <c r="B82" s="1" t="s">
        <v>255</v>
      </c>
      <c r="C82" s="1" t="s">
        <v>256</v>
      </c>
      <c r="D82" s="1" t="s">
        <v>104</v>
      </c>
      <c r="E82" s="1" t="s">
        <v>91</v>
      </c>
      <c r="F82" s="1" t="s">
        <v>25</v>
      </c>
      <c r="G82" s="1">
        <v>38900</v>
      </c>
      <c r="H82" s="1" t="s">
        <v>41</v>
      </c>
      <c r="I82" s="1" t="s">
        <v>257</v>
      </c>
      <c r="J82" s="1" t="s">
        <v>258</v>
      </c>
      <c r="K82" s="1" t="s">
        <v>67</v>
      </c>
      <c r="L82" s="1" t="s">
        <v>68</v>
      </c>
      <c r="M82" s="1" t="s">
        <v>31</v>
      </c>
      <c r="N82" s="1" t="s">
        <v>259</v>
      </c>
      <c r="O82" s="1" t="s">
        <v>143</v>
      </c>
      <c r="P82" s="1">
        <v>9000</v>
      </c>
      <c r="Q82" s="1">
        <v>2023</v>
      </c>
      <c r="R82" s="1">
        <v>202407</v>
      </c>
      <c r="S82" s="1" t="s">
        <v>78</v>
      </c>
      <c r="T82" s="1" t="s">
        <v>79</v>
      </c>
    </row>
    <row r="83" spans="1:20" x14ac:dyDescent="0.15">
      <c r="A83" s="1" t="s">
        <v>334</v>
      </c>
      <c r="B83" s="1" t="s">
        <v>212</v>
      </c>
      <c r="C83" s="1" t="s">
        <v>250</v>
      </c>
      <c r="D83" s="1" t="s">
        <v>104</v>
      </c>
      <c r="E83" s="1" t="s">
        <v>91</v>
      </c>
      <c r="F83" s="1" t="s">
        <v>25</v>
      </c>
      <c r="G83" s="1">
        <v>51200</v>
      </c>
      <c r="H83" s="1" t="s">
        <v>92</v>
      </c>
      <c r="I83" s="1" t="s">
        <v>251</v>
      </c>
      <c r="J83" s="1" t="s">
        <v>252</v>
      </c>
      <c r="K83" s="1" t="s">
        <v>183</v>
      </c>
      <c r="L83" s="1" t="s">
        <v>85</v>
      </c>
      <c r="M83" s="1" t="s">
        <v>31</v>
      </c>
      <c r="N83" s="1" t="s">
        <v>253</v>
      </c>
      <c r="O83" s="1" t="s">
        <v>61</v>
      </c>
      <c r="P83" s="1">
        <v>30000</v>
      </c>
      <c r="Q83" s="1">
        <v>2020</v>
      </c>
      <c r="R83" s="1">
        <v>202407</v>
      </c>
      <c r="S83" s="1" t="s">
        <v>78</v>
      </c>
      <c r="T83" s="1" t="s">
        <v>79</v>
      </c>
    </row>
    <row r="84" spans="1:20" x14ac:dyDescent="0.15">
      <c r="A84" s="1" t="s">
        <v>335</v>
      </c>
      <c r="B84" s="1" t="s">
        <v>212</v>
      </c>
      <c r="C84" s="1" t="s">
        <v>250</v>
      </c>
      <c r="D84" s="1" t="s">
        <v>104</v>
      </c>
      <c r="E84" s="1" t="s">
        <v>91</v>
      </c>
      <c r="F84" s="1" t="s">
        <v>25</v>
      </c>
      <c r="G84" s="1">
        <v>51200</v>
      </c>
      <c r="H84" s="1" t="s">
        <v>92</v>
      </c>
      <c r="I84" s="1" t="s">
        <v>251</v>
      </c>
      <c r="J84" s="1" t="s">
        <v>252</v>
      </c>
      <c r="K84" s="1" t="s">
        <v>183</v>
      </c>
      <c r="L84" s="1" t="s">
        <v>85</v>
      </c>
      <c r="M84" s="1" t="s">
        <v>31</v>
      </c>
      <c r="N84" s="1" t="s">
        <v>253</v>
      </c>
      <c r="O84" s="1" t="s">
        <v>61</v>
      </c>
      <c r="P84" s="1">
        <v>30000</v>
      </c>
      <c r="Q84" s="1">
        <v>2020</v>
      </c>
      <c r="R84" s="1">
        <v>202407</v>
      </c>
      <c r="S84" s="1" t="s">
        <v>78</v>
      </c>
      <c r="T84" s="1" t="s">
        <v>79</v>
      </c>
    </row>
    <row r="85" spans="1:20" x14ac:dyDescent="0.15">
      <c r="A85" s="1" t="s">
        <v>336</v>
      </c>
      <c r="B85" s="1" t="s">
        <v>273</v>
      </c>
      <c r="C85" s="1" t="s">
        <v>274</v>
      </c>
      <c r="D85" s="1" t="s">
        <v>90</v>
      </c>
      <c r="E85" s="1" t="s">
        <v>91</v>
      </c>
      <c r="F85" s="1" t="s">
        <v>25</v>
      </c>
      <c r="G85" s="1">
        <v>35200</v>
      </c>
      <c r="H85" s="1" t="s">
        <v>41</v>
      </c>
      <c r="I85" s="1" t="s">
        <v>275</v>
      </c>
      <c r="J85" s="1" t="s">
        <v>276</v>
      </c>
      <c r="K85" s="1" t="s">
        <v>99</v>
      </c>
      <c r="L85" s="1" t="s">
        <v>68</v>
      </c>
      <c r="M85" s="1" t="s">
        <v>31</v>
      </c>
      <c r="N85" s="1" t="s">
        <v>60</v>
      </c>
      <c r="O85" s="1" t="s">
        <v>46</v>
      </c>
      <c r="P85" s="1">
        <v>25000</v>
      </c>
      <c r="Q85" s="1">
        <v>2020</v>
      </c>
      <c r="R85" s="1">
        <v>202409</v>
      </c>
      <c r="S85" s="1" t="s">
        <v>134</v>
      </c>
      <c r="T85" s="1" t="s">
        <v>79</v>
      </c>
    </row>
    <row r="86" spans="1:20" x14ac:dyDescent="0.15">
      <c r="A86" s="1" t="s">
        <v>337</v>
      </c>
      <c r="B86" s="1" t="s">
        <v>217</v>
      </c>
      <c r="C86" s="1" t="s">
        <v>292</v>
      </c>
      <c r="D86" s="1" t="s">
        <v>23</v>
      </c>
      <c r="E86" s="1" t="s">
        <v>73</v>
      </c>
      <c r="F86" s="1" t="s">
        <v>25</v>
      </c>
      <c r="G86" s="1">
        <v>34500</v>
      </c>
      <c r="H86" s="1" t="s">
        <v>41</v>
      </c>
      <c r="I86" s="1" t="s">
        <v>293</v>
      </c>
      <c r="J86" s="1" t="s">
        <v>294</v>
      </c>
      <c r="K86" s="1" t="s">
        <v>138</v>
      </c>
      <c r="L86" s="1" t="s">
        <v>30</v>
      </c>
      <c r="M86" s="1" t="s">
        <v>31</v>
      </c>
      <c r="N86" s="1" t="s">
        <v>156</v>
      </c>
      <c r="O86" s="1" t="s">
        <v>70</v>
      </c>
      <c r="P86" s="1">
        <v>5000</v>
      </c>
      <c r="Q86" s="1">
        <v>2024</v>
      </c>
      <c r="R86" s="1">
        <v>202411</v>
      </c>
      <c r="S86" s="1" t="s">
        <v>179</v>
      </c>
      <c r="T86" s="1" t="s">
        <v>158</v>
      </c>
    </row>
    <row r="87" spans="1:20" x14ac:dyDescent="0.15">
      <c r="A87" s="1" t="s">
        <v>338</v>
      </c>
      <c r="B87" s="1" t="s">
        <v>255</v>
      </c>
      <c r="C87" s="1" t="s">
        <v>278</v>
      </c>
      <c r="D87" s="1" t="s">
        <v>90</v>
      </c>
      <c r="E87" s="1" t="s">
        <v>91</v>
      </c>
      <c r="F87" s="1" t="s">
        <v>25</v>
      </c>
      <c r="G87" s="1">
        <v>22900</v>
      </c>
      <c r="H87" s="1" t="s">
        <v>26</v>
      </c>
      <c r="I87" s="1" t="s">
        <v>279</v>
      </c>
      <c r="J87" s="1" t="s">
        <v>280</v>
      </c>
      <c r="K87" s="1" t="s">
        <v>67</v>
      </c>
      <c r="L87" s="1" t="s">
        <v>68</v>
      </c>
      <c r="M87" s="1" t="s">
        <v>31</v>
      </c>
      <c r="N87" s="1" t="s">
        <v>281</v>
      </c>
      <c r="O87" s="1" t="s">
        <v>33</v>
      </c>
      <c r="P87" s="1">
        <v>19000</v>
      </c>
      <c r="Q87" s="1">
        <v>2021</v>
      </c>
      <c r="R87" s="1">
        <v>202409</v>
      </c>
      <c r="S87" s="1" t="s">
        <v>134</v>
      </c>
      <c r="T87" s="1" t="s">
        <v>79</v>
      </c>
    </row>
    <row r="88" spans="1:20" x14ac:dyDescent="0.15">
      <c r="A88" s="1" t="s">
        <v>339</v>
      </c>
      <c r="B88" s="1" t="s">
        <v>244</v>
      </c>
      <c r="C88" s="1" t="s">
        <v>300</v>
      </c>
      <c r="D88" s="1" t="s">
        <v>23</v>
      </c>
      <c r="E88" s="1" t="s">
        <v>73</v>
      </c>
      <c r="F88" s="1" t="s">
        <v>111</v>
      </c>
      <c r="G88" s="1">
        <v>69900</v>
      </c>
      <c r="H88" s="1" t="s">
        <v>229</v>
      </c>
      <c r="I88" s="1" t="s">
        <v>301</v>
      </c>
      <c r="J88" s="1" t="s">
        <v>302</v>
      </c>
      <c r="K88" s="1" t="s">
        <v>248</v>
      </c>
      <c r="L88" s="1" t="s">
        <v>52</v>
      </c>
      <c r="M88" s="1" t="s">
        <v>31</v>
      </c>
      <c r="N88" s="1" t="s">
        <v>190</v>
      </c>
      <c r="O88" s="1" t="s">
        <v>33</v>
      </c>
      <c r="P88" s="1">
        <v>6000</v>
      </c>
      <c r="Q88" s="1">
        <v>2023</v>
      </c>
      <c r="R88" s="1">
        <v>202412</v>
      </c>
      <c r="S88" s="1" t="s">
        <v>197</v>
      </c>
      <c r="T88" s="1" t="s">
        <v>158</v>
      </c>
    </row>
    <row r="89" spans="1:20" x14ac:dyDescent="0.15">
      <c r="A89" s="1" t="s">
        <v>340</v>
      </c>
      <c r="B89" s="1" t="s">
        <v>217</v>
      </c>
      <c r="C89" s="1" t="s">
        <v>218</v>
      </c>
      <c r="D89" s="1" t="s">
        <v>23</v>
      </c>
      <c r="E89" s="1" t="s">
        <v>24</v>
      </c>
      <c r="F89" s="1" t="s">
        <v>25</v>
      </c>
      <c r="G89" s="1">
        <v>22900</v>
      </c>
      <c r="H89" s="1" t="s">
        <v>26</v>
      </c>
      <c r="I89" s="1" t="s">
        <v>219</v>
      </c>
      <c r="J89" s="1" t="s">
        <v>220</v>
      </c>
      <c r="K89" s="1" t="s">
        <v>44</v>
      </c>
      <c r="L89" s="1" t="s">
        <v>30</v>
      </c>
      <c r="M89" s="1" t="s">
        <v>31</v>
      </c>
      <c r="N89" s="1" t="s">
        <v>156</v>
      </c>
      <c r="O89" s="1" t="s">
        <v>70</v>
      </c>
      <c r="P89" s="1">
        <v>12000</v>
      </c>
      <c r="Q89" s="1">
        <v>2022</v>
      </c>
      <c r="R89" s="1">
        <v>202402</v>
      </c>
      <c r="S89" s="1" t="s">
        <v>47</v>
      </c>
      <c r="T89" s="1" t="s">
        <v>35</v>
      </c>
    </row>
    <row r="90" spans="1:20" x14ac:dyDescent="0.15">
      <c r="A90" s="1" t="s">
        <v>341</v>
      </c>
      <c r="B90" s="1" t="s">
        <v>227</v>
      </c>
      <c r="C90" s="1" t="s">
        <v>228</v>
      </c>
      <c r="D90" s="1" t="s">
        <v>23</v>
      </c>
      <c r="E90" s="1" t="s">
        <v>73</v>
      </c>
      <c r="F90" s="1" t="s">
        <v>111</v>
      </c>
      <c r="G90" s="1">
        <v>89500</v>
      </c>
      <c r="H90" s="1" t="s">
        <v>229</v>
      </c>
      <c r="I90" s="1" t="s">
        <v>230</v>
      </c>
      <c r="J90" s="1" t="s">
        <v>231</v>
      </c>
      <c r="K90" s="1" t="s">
        <v>165</v>
      </c>
      <c r="L90" s="1" t="s">
        <v>30</v>
      </c>
      <c r="M90" s="1" t="s">
        <v>166</v>
      </c>
      <c r="O90" s="1" t="s">
        <v>70</v>
      </c>
      <c r="P90" s="1">
        <v>8000</v>
      </c>
      <c r="Q90" s="1">
        <v>2023</v>
      </c>
      <c r="R90" s="1">
        <v>202403</v>
      </c>
      <c r="S90" s="1" t="s">
        <v>55</v>
      </c>
      <c r="T90" s="1" t="s">
        <v>35</v>
      </c>
    </row>
    <row r="91" spans="1:20" x14ac:dyDescent="0.15">
      <c r="A91" s="1" t="s">
        <v>342</v>
      </c>
      <c r="B91" s="1" t="s">
        <v>273</v>
      </c>
      <c r="C91" s="1" t="s">
        <v>274</v>
      </c>
      <c r="D91" s="1" t="s">
        <v>90</v>
      </c>
      <c r="E91" s="1" t="s">
        <v>91</v>
      </c>
      <c r="F91" s="1" t="s">
        <v>25</v>
      </c>
      <c r="G91" s="1">
        <v>35200</v>
      </c>
      <c r="H91" s="1" t="s">
        <v>41</v>
      </c>
      <c r="I91" s="1" t="s">
        <v>275</v>
      </c>
      <c r="J91" s="1" t="s">
        <v>276</v>
      </c>
      <c r="K91" s="1" t="s">
        <v>99</v>
      </c>
      <c r="L91" s="1" t="s">
        <v>68</v>
      </c>
      <c r="M91" s="1" t="s">
        <v>31</v>
      </c>
      <c r="N91" s="1" t="s">
        <v>60</v>
      </c>
      <c r="O91" s="1" t="s">
        <v>46</v>
      </c>
      <c r="P91" s="1">
        <v>25000</v>
      </c>
      <c r="Q91" s="1">
        <v>2020</v>
      </c>
      <c r="R91" s="1">
        <v>202409</v>
      </c>
      <c r="S91" s="1" t="s">
        <v>134</v>
      </c>
      <c r="T91" s="1" t="s">
        <v>79</v>
      </c>
    </row>
    <row r="92" spans="1:20" x14ac:dyDescent="0.15">
      <c r="A92" s="1" t="s">
        <v>343</v>
      </c>
      <c r="B92" s="1" t="s">
        <v>222</v>
      </c>
      <c r="C92" s="1" t="s">
        <v>223</v>
      </c>
      <c r="D92" s="1" t="s">
        <v>90</v>
      </c>
      <c r="E92" s="1" t="s">
        <v>91</v>
      </c>
      <c r="F92" s="1" t="s">
        <v>25</v>
      </c>
      <c r="G92" s="1">
        <v>41200</v>
      </c>
      <c r="H92" s="1" t="s">
        <v>92</v>
      </c>
      <c r="I92" s="1" t="s">
        <v>236</v>
      </c>
      <c r="J92" s="1" t="s">
        <v>237</v>
      </c>
      <c r="K92" s="1" t="s">
        <v>84</v>
      </c>
      <c r="L92" s="1" t="s">
        <v>85</v>
      </c>
      <c r="M92" s="1" t="s">
        <v>31</v>
      </c>
      <c r="N92" s="1" t="s">
        <v>86</v>
      </c>
      <c r="O92" s="1" t="s">
        <v>46</v>
      </c>
      <c r="P92" s="1">
        <v>29000</v>
      </c>
      <c r="Q92" s="1">
        <v>2020</v>
      </c>
      <c r="R92" s="1">
        <v>202403</v>
      </c>
      <c r="S92" s="1" t="s">
        <v>55</v>
      </c>
      <c r="T92" s="1" t="s">
        <v>35</v>
      </c>
    </row>
    <row r="93" spans="1:20" x14ac:dyDescent="0.15">
      <c r="A93" s="1" t="s">
        <v>344</v>
      </c>
      <c r="B93" s="1" t="s">
        <v>222</v>
      </c>
      <c r="C93" s="1" t="s">
        <v>283</v>
      </c>
      <c r="D93" s="1" t="s">
        <v>90</v>
      </c>
      <c r="E93" s="1" t="s">
        <v>91</v>
      </c>
      <c r="F93" s="1" t="s">
        <v>25</v>
      </c>
      <c r="G93" s="1">
        <v>27900</v>
      </c>
      <c r="H93" s="1" t="s">
        <v>41</v>
      </c>
      <c r="I93" s="1" t="s">
        <v>284</v>
      </c>
      <c r="J93" s="1" t="s">
        <v>285</v>
      </c>
      <c r="K93" s="1" t="s">
        <v>142</v>
      </c>
      <c r="L93" s="1" t="s">
        <v>85</v>
      </c>
      <c r="M93" s="1" t="s">
        <v>31</v>
      </c>
      <c r="N93" s="1" t="s">
        <v>286</v>
      </c>
      <c r="O93" s="1" t="s">
        <v>54</v>
      </c>
      <c r="P93" s="1">
        <v>13000</v>
      </c>
      <c r="Q93" s="1">
        <v>2023</v>
      </c>
      <c r="R93" s="1">
        <v>202410</v>
      </c>
      <c r="S93" s="1" t="s">
        <v>157</v>
      </c>
      <c r="T93" s="1" t="s">
        <v>158</v>
      </c>
    </row>
    <row r="94" spans="1:20" x14ac:dyDescent="0.15">
      <c r="A94" s="1" t="s">
        <v>345</v>
      </c>
      <c r="B94" s="1" t="s">
        <v>222</v>
      </c>
      <c r="C94" s="1" t="s">
        <v>223</v>
      </c>
      <c r="D94" s="1" t="s">
        <v>90</v>
      </c>
      <c r="E94" s="1" t="s">
        <v>91</v>
      </c>
      <c r="F94" s="1" t="s">
        <v>25</v>
      </c>
      <c r="G94" s="1">
        <v>41200</v>
      </c>
      <c r="H94" s="1" t="s">
        <v>92</v>
      </c>
      <c r="I94" s="1" t="s">
        <v>236</v>
      </c>
      <c r="J94" s="1" t="s">
        <v>237</v>
      </c>
      <c r="K94" s="1" t="s">
        <v>84</v>
      </c>
      <c r="L94" s="1" t="s">
        <v>85</v>
      </c>
      <c r="M94" s="1" t="s">
        <v>31</v>
      </c>
      <c r="N94" s="1" t="s">
        <v>86</v>
      </c>
      <c r="O94" s="1" t="s">
        <v>46</v>
      </c>
      <c r="P94" s="1">
        <v>29000</v>
      </c>
      <c r="Q94" s="1">
        <v>2020</v>
      </c>
      <c r="R94" s="1">
        <v>202403</v>
      </c>
      <c r="S94" s="1" t="s">
        <v>55</v>
      </c>
      <c r="T94" s="1" t="s">
        <v>35</v>
      </c>
    </row>
    <row r="95" spans="1:20" x14ac:dyDescent="0.15">
      <c r="A95" s="1" t="s">
        <v>346</v>
      </c>
      <c r="B95" s="1" t="s">
        <v>222</v>
      </c>
      <c r="C95" s="1" t="s">
        <v>268</v>
      </c>
      <c r="D95" s="1" t="s">
        <v>90</v>
      </c>
      <c r="E95" s="1" t="s">
        <v>91</v>
      </c>
      <c r="F95" s="1" t="s">
        <v>25</v>
      </c>
      <c r="G95" s="1">
        <v>22900</v>
      </c>
      <c r="H95" s="1" t="s">
        <v>26</v>
      </c>
      <c r="I95" s="1" t="s">
        <v>269</v>
      </c>
      <c r="J95" s="1" t="s">
        <v>270</v>
      </c>
      <c r="K95" s="1" t="s">
        <v>142</v>
      </c>
      <c r="L95" s="1" t="s">
        <v>85</v>
      </c>
      <c r="M95" s="1" t="s">
        <v>31</v>
      </c>
      <c r="N95" s="1" t="s">
        <v>271</v>
      </c>
      <c r="O95" s="1" t="s">
        <v>54</v>
      </c>
      <c r="P95" s="1">
        <v>45000</v>
      </c>
      <c r="Q95" s="1">
        <v>2016</v>
      </c>
      <c r="R95" s="1">
        <v>202408</v>
      </c>
      <c r="S95" s="1" t="s">
        <v>108</v>
      </c>
      <c r="T95" s="1" t="s">
        <v>79</v>
      </c>
    </row>
    <row r="96" spans="1:20" x14ac:dyDescent="0.15">
      <c r="A96" s="1" t="s">
        <v>347</v>
      </c>
      <c r="B96" s="1" t="s">
        <v>222</v>
      </c>
      <c r="C96" s="1" t="s">
        <v>223</v>
      </c>
      <c r="D96" s="1" t="s">
        <v>90</v>
      </c>
      <c r="E96" s="1" t="s">
        <v>91</v>
      </c>
      <c r="F96" s="1" t="s">
        <v>25</v>
      </c>
      <c r="G96" s="1">
        <v>38900</v>
      </c>
      <c r="H96" s="1" t="s">
        <v>41</v>
      </c>
      <c r="I96" s="1" t="s">
        <v>224</v>
      </c>
      <c r="J96" s="1" t="s">
        <v>225</v>
      </c>
      <c r="K96" s="1" t="s">
        <v>142</v>
      </c>
      <c r="L96" s="1" t="s">
        <v>85</v>
      </c>
      <c r="M96" s="1" t="s">
        <v>31</v>
      </c>
      <c r="N96" s="1" t="s">
        <v>86</v>
      </c>
      <c r="O96" s="1" t="s">
        <v>101</v>
      </c>
      <c r="P96" s="1">
        <v>35000</v>
      </c>
      <c r="Q96" s="1">
        <v>2020</v>
      </c>
      <c r="R96" s="1">
        <v>202402</v>
      </c>
      <c r="S96" s="1" t="s">
        <v>47</v>
      </c>
      <c r="T96" s="1" t="s">
        <v>35</v>
      </c>
    </row>
    <row r="97" spans="1:20" x14ac:dyDescent="0.15">
      <c r="A97" s="1" t="s">
        <v>348</v>
      </c>
      <c r="B97" s="1" t="s">
        <v>244</v>
      </c>
      <c r="C97" s="1" t="s">
        <v>300</v>
      </c>
      <c r="D97" s="1" t="s">
        <v>23</v>
      </c>
      <c r="E97" s="1" t="s">
        <v>73</v>
      </c>
      <c r="F97" s="1" t="s">
        <v>111</v>
      </c>
      <c r="G97" s="1">
        <v>69900</v>
      </c>
      <c r="H97" s="1" t="s">
        <v>229</v>
      </c>
      <c r="I97" s="1" t="s">
        <v>301</v>
      </c>
      <c r="J97" s="1" t="s">
        <v>302</v>
      </c>
      <c r="K97" s="1" t="s">
        <v>248</v>
      </c>
      <c r="L97" s="1" t="s">
        <v>52</v>
      </c>
      <c r="M97" s="1" t="s">
        <v>31</v>
      </c>
      <c r="N97" s="1" t="s">
        <v>190</v>
      </c>
      <c r="O97" s="1" t="s">
        <v>33</v>
      </c>
      <c r="P97" s="1">
        <v>6000</v>
      </c>
      <c r="Q97" s="1">
        <v>2023</v>
      </c>
      <c r="R97" s="1">
        <v>202412</v>
      </c>
      <c r="S97" s="1" t="s">
        <v>197</v>
      </c>
      <c r="T97" s="1" t="s">
        <v>158</v>
      </c>
    </row>
    <row r="98" spans="1:20" x14ac:dyDescent="0.15">
      <c r="A98" s="1" t="s">
        <v>349</v>
      </c>
      <c r="B98" s="1" t="s">
        <v>244</v>
      </c>
      <c r="C98" s="1" t="s">
        <v>245</v>
      </c>
      <c r="D98" s="1" t="s">
        <v>23</v>
      </c>
      <c r="E98" s="1" t="s">
        <v>73</v>
      </c>
      <c r="F98" s="1" t="s">
        <v>111</v>
      </c>
      <c r="G98" s="1">
        <v>89900</v>
      </c>
      <c r="H98" s="1" t="s">
        <v>229</v>
      </c>
      <c r="I98" s="1" t="s">
        <v>246</v>
      </c>
      <c r="J98" s="1" t="s">
        <v>247</v>
      </c>
      <c r="K98" s="1" t="s">
        <v>248</v>
      </c>
      <c r="L98" s="1" t="s">
        <v>52</v>
      </c>
      <c r="M98" s="1" t="s">
        <v>31</v>
      </c>
      <c r="N98" s="1" t="s">
        <v>190</v>
      </c>
      <c r="O98" s="1" t="s">
        <v>101</v>
      </c>
      <c r="P98" s="1">
        <v>26000</v>
      </c>
      <c r="Q98" s="1">
        <v>2020</v>
      </c>
      <c r="R98" s="1">
        <v>202407</v>
      </c>
      <c r="S98" s="1" t="s">
        <v>78</v>
      </c>
      <c r="T98" s="1" t="s">
        <v>79</v>
      </c>
    </row>
    <row r="99" spans="1:20" x14ac:dyDescent="0.15">
      <c r="A99" s="1" t="s">
        <v>350</v>
      </c>
      <c r="B99" s="1" t="s">
        <v>222</v>
      </c>
      <c r="C99" s="1" t="s">
        <v>268</v>
      </c>
      <c r="D99" s="1" t="s">
        <v>90</v>
      </c>
      <c r="E99" s="1" t="s">
        <v>91</v>
      </c>
      <c r="F99" s="1" t="s">
        <v>25</v>
      </c>
      <c r="G99" s="1">
        <v>22900</v>
      </c>
      <c r="H99" s="1" t="s">
        <v>26</v>
      </c>
      <c r="I99" s="1" t="s">
        <v>269</v>
      </c>
      <c r="J99" s="1" t="s">
        <v>270</v>
      </c>
      <c r="K99" s="1" t="s">
        <v>142</v>
      </c>
      <c r="L99" s="1" t="s">
        <v>85</v>
      </c>
      <c r="M99" s="1" t="s">
        <v>31</v>
      </c>
      <c r="N99" s="1" t="s">
        <v>271</v>
      </c>
      <c r="O99" s="1" t="s">
        <v>54</v>
      </c>
      <c r="P99" s="1">
        <v>45000</v>
      </c>
      <c r="Q99" s="1">
        <v>2016</v>
      </c>
      <c r="R99" s="1">
        <v>202408</v>
      </c>
      <c r="S99" s="1" t="s">
        <v>108</v>
      </c>
      <c r="T99" s="1" t="s">
        <v>79</v>
      </c>
    </row>
    <row r="100" spans="1:20" x14ac:dyDescent="0.15">
      <c r="A100" s="1" t="s">
        <v>351</v>
      </c>
      <c r="B100" s="1" t="s">
        <v>212</v>
      </c>
      <c r="C100" s="1" t="s">
        <v>304</v>
      </c>
      <c r="D100" s="1" t="s">
        <v>262</v>
      </c>
      <c r="E100" s="1" t="s">
        <v>305</v>
      </c>
      <c r="F100" s="1" t="s">
        <v>25</v>
      </c>
      <c r="G100" s="1">
        <v>115900</v>
      </c>
      <c r="H100" s="1" t="s">
        <v>264</v>
      </c>
      <c r="I100" s="1" t="s">
        <v>306</v>
      </c>
      <c r="J100" s="1" t="s">
        <v>307</v>
      </c>
      <c r="K100" s="1" t="s">
        <v>183</v>
      </c>
      <c r="L100" s="1" t="s">
        <v>85</v>
      </c>
      <c r="M100" s="1" t="s">
        <v>31</v>
      </c>
      <c r="N100" s="1" t="s">
        <v>128</v>
      </c>
      <c r="O100" s="1" t="s">
        <v>46</v>
      </c>
      <c r="P100" s="1">
        <v>2500</v>
      </c>
      <c r="Q100" s="1">
        <v>2024</v>
      </c>
      <c r="R100" s="1">
        <v>202412</v>
      </c>
      <c r="S100" s="1" t="s">
        <v>197</v>
      </c>
      <c r="T100" s="1" t="s">
        <v>158</v>
      </c>
    </row>
    <row r="101" spans="1:20" x14ac:dyDescent="0.15">
      <c r="A101" s="1" t="s">
        <v>352</v>
      </c>
      <c r="B101" s="1" t="s">
        <v>212</v>
      </c>
      <c r="C101" s="1" t="s">
        <v>304</v>
      </c>
      <c r="D101" s="1" t="s">
        <v>262</v>
      </c>
      <c r="E101" s="1" t="s">
        <v>305</v>
      </c>
      <c r="F101" s="1" t="s">
        <v>25</v>
      </c>
      <c r="G101" s="1">
        <v>115900</v>
      </c>
      <c r="H101" s="1" t="s">
        <v>264</v>
      </c>
      <c r="I101" s="1" t="s">
        <v>306</v>
      </c>
      <c r="J101" s="1" t="s">
        <v>307</v>
      </c>
      <c r="K101" s="1" t="s">
        <v>183</v>
      </c>
      <c r="L101" s="1" t="s">
        <v>85</v>
      </c>
      <c r="M101" s="1" t="s">
        <v>31</v>
      </c>
      <c r="N101" s="1" t="s">
        <v>128</v>
      </c>
      <c r="O101" s="1" t="s">
        <v>46</v>
      </c>
      <c r="P101" s="1">
        <v>2500</v>
      </c>
      <c r="Q101" s="1">
        <v>2024</v>
      </c>
      <c r="R101" s="1">
        <v>202412</v>
      </c>
      <c r="S101" s="1" t="s">
        <v>197</v>
      </c>
      <c r="T101" s="1" t="s">
        <v>158</v>
      </c>
    </row>
    <row r="102" spans="1:20" x14ac:dyDescent="0.15">
      <c r="A102" s="1" t="s">
        <v>353</v>
      </c>
      <c r="B102" s="1" t="s">
        <v>222</v>
      </c>
      <c r="C102" s="1" t="s">
        <v>283</v>
      </c>
      <c r="D102" s="1" t="s">
        <v>90</v>
      </c>
      <c r="E102" s="1" t="s">
        <v>91</v>
      </c>
      <c r="F102" s="1" t="s">
        <v>25</v>
      </c>
      <c r="G102" s="1">
        <v>27900</v>
      </c>
      <c r="H102" s="1" t="s">
        <v>41</v>
      </c>
      <c r="I102" s="1" t="s">
        <v>284</v>
      </c>
      <c r="J102" s="1" t="s">
        <v>285</v>
      </c>
      <c r="K102" s="1" t="s">
        <v>142</v>
      </c>
      <c r="L102" s="1" t="s">
        <v>85</v>
      </c>
      <c r="M102" s="1" t="s">
        <v>31</v>
      </c>
      <c r="N102" s="1" t="s">
        <v>286</v>
      </c>
      <c r="O102" s="1" t="s">
        <v>54</v>
      </c>
      <c r="P102" s="1">
        <v>13000</v>
      </c>
      <c r="Q102" s="1">
        <v>2023</v>
      </c>
      <c r="R102" s="1">
        <v>202410</v>
      </c>
      <c r="S102" s="1" t="s">
        <v>157</v>
      </c>
      <c r="T102" s="1" t="s">
        <v>158</v>
      </c>
    </row>
    <row r="103" spans="1:20" x14ac:dyDescent="0.15">
      <c r="A103" s="1" t="s">
        <v>354</v>
      </c>
      <c r="B103" s="1" t="s">
        <v>212</v>
      </c>
      <c r="C103" s="1" t="s">
        <v>213</v>
      </c>
      <c r="D103" s="1" t="s">
        <v>23</v>
      </c>
      <c r="E103" s="1" t="s">
        <v>73</v>
      </c>
      <c r="F103" s="1" t="s">
        <v>25</v>
      </c>
      <c r="G103" s="1">
        <v>26800</v>
      </c>
      <c r="H103" s="1" t="s">
        <v>41</v>
      </c>
      <c r="I103" s="1" t="s">
        <v>214</v>
      </c>
      <c r="J103" s="1" t="s">
        <v>215</v>
      </c>
      <c r="L103" s="1" t="s">
        <v>52</v>
      </c>
      <c r="M103" s="1" t="s">
        <v>31</v>
      </c>
      <c r="N103" s="1" t="s">
        <v>60</v>
      </c>
      <c r="O103" s="1" t="s">
        <v>54</v>
      </c>
      <c r="P103" s="1">
        <v>22000</v>
      </c>
      <c r="Q103" s="1">
        <v>2020</v>
      </c>
      <c r="R103" s="1">
        <v>202402</v>
      </c>
      <c r="S103" s="1" t="s">
        <v>47</v>
      </c>
      <c r="T103" s="1" t="s">
        <v>35</v>
      </c>
    </row>
    <row r="104" spans="1:20" x14ac:dyDescent="0.15">
      <c r="A104" s="1" t="s">
        <v>355</v>
      </c>
      <c r="B104" s="1" t="s">
        <v>255</v>
      </c>
      <c r="C104" s="1" t="s">
        <v>278</v>
      </c>
      <c r="D104" s="1" t="s">
        <v>90</v>
      </c>
      <c r="E104" s="1" t="s">
        <v>91</v>
      </c>
      <c r="F104" s="1" t="s">
        <v>25</v>
      </c>
      <c r="G104" s="1">
        <v>22900</v>
      </c>
      <c r="H104" s="1" t="s">
        <v>26</v>
      </c>
      <c r="I104" s="1" t="s">
        <v>279</v>
      </c>
      <c r="J104" s="1" t="s">
        <v>280</v>
      </c>
      <c r="K104" s="1" t="s">
        <v>67</v>
      </c>
      <c r="L104" s="1" t="s">
        <v>68</v>
      </c>
      <c r="M104" s="1" t="s">
        <v>31</v>
      </c>
      <c r="N104" s="1" t="s">
        <v>281</v>
      </c>
      <c r="O104" s="1" t="s">
        <v>33</v>
      </c>
      <c r="P104" s="1">
        <v>19000</v>
      </c>
      <c r="Q104" s="1">
        <v>2021</v>
      </c>
      <c r="R104" s="1">
        <v>202409</v>
      </c>
      <c r="S104" s="1" t="s">
        <v>134</v>
      </c>
      <c r="T104" s="1" t="s">
        <v>79</v>
      </c>
    </row>
    <row r="105" spans="1:20" x14ac:dyDescent="0.15">
      <c r="A105" s="1" t="s">
        <v>356</v>
      </c>
      <c r="B105" s="1" t="s">
        <v>212</v>
      </c>
      <c r="C105" s="1" t="s">
        <v>250</v>
      </c>
      <c r="D105" s="1" t="s">
        <v>90</v>
      </c>
      <c r="E105" s="1" t="s">
        <v>91</v>
      </c>
      <c r="F105" s="1" t="s">
        <v>25</v>
      </c>
      <c r="G105" s="1">
        <v>51200</v>
      </c>
      <c r="H105" s="1" t="s">
        <v>92</v>
      </c>
      <c r="I105" s="1" t="s">
        <v>251</v>
      </c>
      <c r="J105" s="1" t="s">
        <v>252</v>
      </c>
      <c r="K105" s="1" t="s">
        <v>183</v>
      </c>
      <c r="L105" s="1" t="s">
        <v>85</v>
      </c>
      <c r="M105" s="1" t="s">
        <v>31</v>
      </c>
      <c r="N105" s="1" t="s">
        <v>253</v>
      </c>
      <c r="O105" s="1" t="s">
        <v>61</v>
      </c>
      <c r="P105" s="1">
        <v>30000</v>
      </c>
      <c r="Q105" s="1">
        <v>2020</v>
      </c>
      <c r="R105" s="1">
        <v>202407</v>
      </c>
      <c r="S105" s="1" t="s">
        <v>78</v>
      </c>
      <c r="T105" s="1" t="s">
        <v>79</v>
      </c>
    </row>
    <row r="106" spans="1:20" x14ac:dyDescent="0.15">
      <c r="A106" s="1" t="s">
        <v>357</v>
      </c>
      <c r="B106" s="1" t="s">
        <v>222</v>
      </c>
      <c r="C106" s="1" t="s">
        <v>223</v>
      </c>
      <c r="D106" s="1" t="s">
        <v>90</v>
      </c>
      <c r="E106" s="1" t="s">
        <v>91</v>
      </c>
      <c r="F106" s="1" t="s">
        <v>25</v>
      </c>
      <c r="G106" s="1">
        <v>41200</v>
      </c>
      <c r="H106" s="1" t="s">
        <v>92</v>
      </c>
      <c r="I106" s="1" t="s">
        <v>236</v>
      </c>
      <c r="J106" s="1" t="s">
        <v>237</v>
      </c>
      <c r="K106" s="1" t="s">
        <v>84</v>
      </c>
      <c r="L106" s="1" t="s">
        <v>85</v>
      </c>
      <c r="M106" s="1" t="s">
        <v>31</v>
      </c>
      <c r="N106" s="1" t="s">
        <v>86</v>
      </c>
      <c r="O106" s="1" t="s">
        <v>46</v>
      </c>
      <c r="P106" s="1">
        <v>29000</v>
      </c>
      <c r="Q106" s="1">
        <v>2020</v>
      </c>
      <c r="R106" s="1">
        <v>202403</v>
      </c>
      <c r="S106" s="1" t="s">
        <v>55</v>
      </c>
      <c r="T106" s="1" t="s">
        <v>35</v>
      </c>
    </row>
    <row r="107" spans="1:20" x14ac:dyDescent="0.15">
      <c r="A107" s="1" t="s">
        <v>358</v>
      </c>
      <c r="B107" s="1" t="s">
        <v>21</v>
      </c>
      <c r="C107" s="1" t="s">
        <v>37</v>
      </c>
      <c r="D107" s="1" t="s">
        <v>38</v>
      </c>
      <c r="E107" s="1" t="s">
        <v>81</v>
      </c>
      <c r="F107" s="1" t="s">
        <v>40</v>
      </c>
      <c r="G107" s="1">
        <v>27000</v>
      </c>
      <c r="H107" s="1" t="s">
        <v>41</v>
      </c>
      <c r="I107" s="1" t="s">
        <v>359</v>
      </c>
      <c r="J107" s="1" t="s">
        <v>360</v>
      </c>
      <c r="K107" s="1" t="s">
        <v>248</v>
      </c>
      <c r="L107" s="1" t="s">
        <v>52</v>
      </c>
      <c r="M107" s="1" t="s">
        <v>31</v>
      </c>
      <c r="N107" s="1" t="s">
        <v>190</v>
      </c>
      <c r="O107" s="1" t="s">
        <v>101</v>
      </c>
      <c r="P107" s="1">
        <v>32000</v>
      </c>
      <c r="Q107" s="1">
        <v>2020</v>
      </c>
      <c r="R107" s="1">
        <v>202404</v>
      </c>
      <c r="S107" s="1" t="s">
        <v>361</v>
      </c>
      <c r="T107" s="1" t="s">
        <v>362</v>
      </c>
    </row>
    <row r="108" spans="1:20" x14ac:dyDescent="0.15">
      <c r="A108" s="1" t="s">
        <v>363</v>
      </c>
      <c r="B108" s="1" t="s">
        <v>21</v>
      </c>
      <c r="C108" s="1" t="s">
        <v>37</v>
      </c>
      <c r="D108" s="1" t="s">
        <v>38</v>
      </c>
      <c r="E108" s="1" t="s">
        <v>39</v>
      </c>
      <c r="F108" s="1" t="s">
        <v>40</v>
      </c>
      <c r="G108" s="1">
        <v>27000</v>
      </c>
      <c r="H108" s="1" t="s">
        <v>41</v>
      </c>
      <c r="I108" s="1" t="s">
        <v>364</v>
      </c>
      <c r="J108" s="1" t="s">
        <v>365</v>
      </c>
      <c r="K108" s="1" t="s">
        <v>165</v>
      </c>
      <c r="L108" s="1" t="s">
        <v>30</v>
      </c>
      <c r="M108" s="1" t="s">
        <v>166</v>
      </c>
      <c r="O108" s="1" t="s">
        <v>33</v>
      </c>
      <c r="P108" s="1">
        <v>12000</v>
      </c>
      <c r="Q108" s="1">
        <v>2023</v>
      </c>
      <c r="R108" s="1">
        <v>202404</v>
      </c>
      <c r="S108" s="1" t="s">
        <v>361</v>
      </c>
      <c r="T108" s="1" t="s">
        <v>362</v>
      </c>
    </row>
    <row r="109" spans="1:20" x14ac:dyDescent="0.15">
      <c r="A109" s="1" t="s">
        <v>366</v>
      </c>
      <c r="B109" s="1" t="s">
        <v>21</v>
      </c>
      <c r="C109" s="1" t="s">
        <v>37</v>
      </c>
      <c r="D109" s="1" t="s">
        <v>23</v>
      </c>
      <c r="E109" s="1" t="s">
        <v>73</v>
      </c>
      <c r="F109" s="1" t="s">
        <v>25</v>
      </c>
      <c r="G109" s="1">
        <v>29500</v>
      </c>
      <c r="H109" s="1" t="s">
        <v>41</v>
      </c>
      <c r="I109" s="1" t="s">
        <v>367</v>
      </c>
      <c r="J109" s="1" t="s">
        <v>368</v>
      </c>
      <c r="K109" s="1" t="s">
        <v>76</v>
      </c>
      <c r="L109" s="1" t="s">
        <v>30</v>
      </c>
      <c r="M109" s="1" t="s">
        <v>39</v>
      </c>
      <c r="N109" s="1" t="s">
        <v>32</v>
      </c>
      <c r="O109" s="1" t="s">
        <v>61</v>
      </c>
      <c r="P109" s="1">
        <v>9000</v>
      </c>
      <c r="Q109" s="1">
        <v>2023</v>
      </c>
      <c r="R109" s="1">
        <v>202404</v>
      </c>
      <c r="S109" s="1" t="s">
        <v>361</v>
      </c>
      <c r="T109" s="1" t="s">
        <v>362</v>
      </c>
    </row>
    <row r="110" spans="1:20" x14ac:dyDescent="0.15">
      <c r="A110" s="1" t="s">
        <v>369</v>
      </c>
      <c r="B110" s="1" t="s">
        <v>21</v>
      </c>
      <c r="C110" s="1" t="s">
        <v>37</v>
      </c>
      <c r="D110" s="1" t="s">
        <v>38</v>
      </c>
      <c r="E110" s="1" t="s">
        <v>39</v>
      </c>
      <c r="F110" s="1" t="s">
        <v>40</v>
      </c>
      <c r="G110" s="1">
        <v>27000</v>
      </c>
      <c r="H110" s="1" t="s">
        <v>41</v>
      </c>
      <c r="I110" s="1" t="s">
        <v>370</v>
      </c>
      <c r="J110" s="1" t="s">
        <v>371</v>
      </c>
      <c r="K110" s="1" t="s">
        <v>372</v>
      </c>
      <c r="L110" s="1" t="s">
        <v>68</v>
      </c>
      <c r="M110" s="1" t="s">
        <v>31</v>
      </c>
      <c r="N110" s="1" t="s">
        <v>53</v>
      </c>
      <c r="O110" s="1" t="s">
        <v>33</v>
      </c>
      <c r="P110" s="1">
        <v>20000</v>
      </c>
      <c r="Q110" s="1">
        <v>2022</v>
      </c>
      <c r="R110" s="1">
        <v>202404</v>
      </c>
      <c r="S110" s="1" t="s">
        <v>361</v>
      </c>
      <c r="T110" s="1" t="s">
        <v>362</v>
      </c>
    </row>
    <row r="111" spans="1:20" x14ac:dyDescent="0.15">
      <c r="A111" s="1" t="s">
        <v>373</v>
      </c>
      <c r="B111" s="1" t="s">
        <v>21</v>
      </c>
      <c r="C111" s="1" t="s">
        <v>37</v>
      </c>
      <c r="D111" s="1" t="s">
        <v>38</v>
      </c>
      <c r="E111" s="1" t="s">
        <v>39</v>
      </c>
      <c r="F111" s="1" t="s">
        <v>40</v>
      </c>
      <c r="G111" s="1">
        <v>27000</v>
      </c>
      <c r="H111" s="1" t="s">
        <v>41</v>
      </c>
      <c r="I111" s="1" t="s">
        <v>374</v>
      </c>
      <c r="J111" s="1" t="s">
        <v>237</v>
      </c>
      <c r="K111" s="1" t="s">
        <v>248</v>
      </c>
      <c r="L111" s="1" t="s">
        <v>52</v>
      </c>
      <c r="M111" s="1" t="s">
        <v>31</v>
      </c>
      <c r="N111" s="1" t="s">
        <v>156</v>
      </c>
      <c r="O111" s="1" t="s">
        <v>46</v>
      </c>
      <c r="P111" s="1">
        <v>28000</v>
      </c>
      <c r="Q111" s="1">
        <v>2020</v>
      </c>
      <c r="R111" s="1">
        <v>202405</v>
      </c>
      <c r="S111" s="1" t="s">
        <v>375</v>
      </c>
      <c r="T111" s="1" t="s">
        <v>362</v>
      </c>
    </row>
    <row r="112" spans="1:20" x14ac:dyDescent="0.15">
      <c r="A112" s="1" t="s">
        <v>376</v>
      </c>
      <c r="B112" s="1" t="s">
        <v>21</v>
      </c>
      <c r="C112" s="1" t="s">
        <v>103</v>
      </c>
      <c r="D112" s="1" t="s">
        <v>90</v>
      </c>
      <c r="E112" s="1" t="s">
        <v>105</v>
      </c>
      <c r="F112" s="1" t="s">
        <v>25</v>
      </c>
      <c r="G112" s="1">
        <v>35800</v>
      </c>
      <c r="H112" s="1" t="s">
        <v>41</v>
      </c>
      <c r="I112" s="1" t="s">
        <v>377</v>
      </c>
      <c r="J112" s="1" t="s">
        <v>378</v>
      </c>
      <c r="K112" s="1" t="s">
        <v>29</v>
      </c>
      <c r="L112" s="1" t="s">
        <v>30</v>
      </c>
      <c r="M112" s="1" t="s">
        <v>31</v>
      </c>
      <c r="N112" s="1" t="s">
        <v>60</v>
      </c>
      <c r="O112" s="1" t="s">
        <v>54</v>
      </c>
      <c r="P112" s="1">
        <v>11000</v>
      </c>
      <c r="Q112" s="1">
        <v>2023</v>
      </c>
      <c r="R112" s="1">
        <v>202405</v>
      </c>
      <c r="S112" s="1" t="s">
        <v>375</v>
      </c>
      <c r="T112" s="1" t="s">
        <v>362</v>
      </c>
    </row>
    <row r="113" spans="1:20" x14ac:dyDescent="0.15">
      <c r="A113" s="1" t="s">
        <v>379</v>
      </c>
      <c r="B113" s="1" t="s">
        <v>21</v>
      </c>
      <c r="C113" s="1" t="s">
        <v>37</v>
      </c>
      <c r="D113" s="1" t="s">
        <v>38</v>
      </c>
      <c r="E113" s="1" t="s">
        <v>39</v>
      </c>
      <c r="F113" s="1" t="s">
        <v>40</v>
      </c>
      <c r="G113" s="1">
        <v>27000</v>
      </c>
      <c r="H113" s="1" t="s">
        <v>41</v>
      </c>
      <c r="I113" s="1" t="s">
        <v>380</v>
      </c>
      <c r="J113" s="1" t="s">
        <v>381</v>
      </c>
      <c r="K113" s="1" t="s">
        <v>382</v>
      </c>
      <c r="L113" s="1" t="s">
        <v>85</v>
      </c>
      <c r="M113" s="1" t="s">
        <v>31</v>
      </c>
      <c r="N113" s="1" t="s">
        <v>60</v>
      </c>
      <c r="O113" s="1" t="s">
        <v>61</v>
      </c>
      <c r="P113" s="1">
        <v>24000</v>
      </c>
      <c r="Q113" s="1">
        <v>2021</v>
      </c>
      <c r="R113" s="1">
        <v>202405</v>
      </c>
      <c r="S113" s="1" t="s">
        <v>375</v>
      </c>
      <c r="T113" s="1" t="s">
        <v>362</v>
      </c>
    </row>
    <row r="114" spans="1:20" x14ac:dyDescent="0.15">
      <c r="A114" s="1" t="s">
        <v>383</v>
      </c>
      <c r="B114" s="1" t="s">
        <v>21</v>
      </c>
      <c r="C114" s="1" t="s">
        <v>103</v>
      </c>
      <c r="D114" s="1" t="s">
        <v>90</v>
      </c>
      <c r="E114" s="1" t="s">
        <v>105</v>
      </c>
      <c r="F114" s="1" t="s">
        <v>25</v>
      </c>
      <c r="G114" s="1">
        <v>32000</v>
      </c>
      <c r="H114" s="1" t="s">
        <v>41</v>
      </c>
      <c r="I114" s="1" t="s">
        <v>384</v>
      </c>
      <c r="J114" s="1" t="s">
        <v>385</v>
      </c>
      <c r="K114" s="1" t="s">
        <v>248</v>
      </c>
      <c r="L114" s="1" t="s">
        <v>52</v>
      </c>
      <c r="M114" s="1" t="s">
        <v>31</v>
      </c>
      <c r="N114" s="1" t="s">
        <v>156</v>
      </c>
      <c r="O114" s="1" t="s">
        <v>54</v>
      </c>
      <c r="P114" s="1">
        <v>21000</v>
      </c>
      <c r="Q114" s="1">
        <v>2021</v>
      </c>
      <c r="R114" s="1">
        <v>202405</v>
      </c>
      <c r="S114" s="1" t="s">
        <v>375</v>
      </c>
      <c r="T114" s="1" t="s">
        <v>362</v>
      </c>
    </row>
    <row r="115" spans="1:20" x14ac:dyDescent="0.15">
      <c r="A115" s="1" t="s">
        <v>386</v>
      </c>
      <c r="B115" s="1" t="s">
        <v>21</v>
      </c>
      <c r="C115" s="1" t="s">
        <v>110</v>
      </c>
      <c r="D115" s="1" t="s">
        <v>90</v>
      </c>
      <c r="E115" s="1" t="s">
        <v>91</v>
      </c>
      <c r="F115" s="1" t="s">
        <v>25</v>
      </c>
      <c r="G115" s="1">
        <v>44800</v>
      </c>
      <c r="H115" s="1" t="s">
        <v>92</v>
      </c>
      <c r="I115" s="1" t="s">
        <v>387</v>
      </c>
      <c r="J115" s="1" t="s">
        <v>388</v>
      </c>
      <c r="K115" s="1" t="s">
        <v>29</v>
      </c>
      <c r="L115" s="1" t="s">
        <v>30</v>
      </c>
      <c r="M115" s="1" t="s">
        <v>31</v>
      </c>
      <c r="N115" s="1" t="s">
        <v>77</v>
      </c>
      <c r="O115" s="1" t="s">
        <v>101</v>
      </c>
      <c r="P115" s="1">
        <v>18000</v>
      </c>
      <c r="Q115" s="1">
        <v>2022</v>
      </c>
      <c r="R115" s="1">
        <v>202406</v>
      </c>
      <c r="S115" s="1" t="s">
        <v>389</v>
      </c>
      <c r="T115" s="1" t="s">
        <v>362</v>
      </c>
    </row>
    <row r="116" spans="1:20" x14ac:dyDescent="0.15">
      <c r="A116" s="1" t="s">
        <v>390</v>
      </c>
      <c r="B116" s="1" t="s">
        <v>21</v>
      </c>
      <c r="C116" s="1" t="s">
        <v>110</v>
      </c>
      <c r="D116" s="1" t="s">
        <v>90</v>
      </c>
      <c r="E116" s="1" t="s">
        <v>105</v>
      </c>
      <c r="F116" s="1" t="s">
        <v>111</v>
      </c>
      <c r="G116" s="1">
        <v>43000</v>
      </c>
      <c r="H116" s="1" t="s">
        <v>92</v>
      </c>
      <c r="I116" s="1" t="s">
        <v>391</v>
      </c>
      <c r="J116" s="1" t="s">
        <v>392</v>
      </c>
      <c r="K116" s="1" t="s">
        <v>142</v>
      </c>
      <c r="L116" s="1" t="s">
        <v>85</v>
      </c>
      <c r="M116" s="1" t="s">
        <v>31</v>
      </c>
      <c r="N116" s="1" t="s">
        <v>45</v>
      </c>
      <c r="O116" s="1" t="s">
        <v>54</v>
      </c>
      <c r="P116" s="1">
        <v>20000</v>
      </c>
      <c r="Q116" s="1">
        <v>2021</v>
      </c>
      <c r="R116" s="1">
        <v>202406</v>
      </c>
      <c r="S116" s="1" t="s">
        <v>389</v>
      </c>
      <c r="T116" s="1" t="s">
        <v>362</v>
      </c>
    </row>
    <row r="117" spans="1:20" x14ac:dyDescent="0.15">
      <c r="A117" s="1" t="s">
        <v>393</v>
      </c>
      <c r="B117" s="1" t="s">
        <v>21</v>
      </c>
      <c r="C117" s="1" t="s">
        <v>103</v>
      </c>
      <c r="D117" s="1" t="s">
        <v>90</v>
      </c>
      <c r="E117" s="1" t="s">
        <v>105</v>
      </c>
      <c r="F117" s="1" t="s">
        <v>25</v>
      </c>
      <c r="G117" s="1">
        <v>32000</v>
      </c>
      <c r="H117" s="1" t="s">
        <v>41</v>
      </c>
      <c r="I117" s="1" t="s">
        <v>394</v>
      </c>
      <c r="J117" s="1" t="s">
        <v>395</v>
      </c>
      <c r="K117" s="1" t="s">
        <v>248</v>
      </c>
      <c r="L117" s="1" t="s">
        <v>52</v>
      </c>
      <c r="M117" s="1" t="s">
        <v>31</v>
      </c>
      <c r="N117" s="1" t="s">
        <v>156</v>
      </c>
      <c r="O117" s="1" t="s">
        <v>46</v>
      </c>
      <c r="P117" s="1">
        <v>15000</v>
      </c>
      <c r="Q117" s="1">
        <v>2022</v>
      </c>
      <c r="R117" s="1">
        <v>202406</v>
      </c>
      <c r="S117" s="1" t="s">
        <v>389</v>
      </c>
      <c r="T117" s="1" t="s">
        <v>362</v>
      </c>
    </row>
    <row r="118" spans="1:20" x14ac:dyDescent="0.15">
      <c r="A118" s="1" t="s">
        <v>396</v>
      </c>
      <c r="B118" s="1" t="s">
        <v>21</v>
      </c>
      <c r="C118" s="1" t="s">
        <v>397</v>
      </c>
      <c r="D118" s="1" t="s">
        <v>398</v>
      </c>
      <c r="E118" s="1" t="s">
        <v>399</v>
      </c>
      <c r="F118" s="1" t="s">
        <v>25</v>
      </c>
      <c r="G118" s="1">
        <v>33500</v>
      </c>
      <c r="H118" s="1" t="s">
        <v>41</v>
      </c>
      <c r="I118" s="1" t="s">
        <v>400</v>
      </c>
      <c r="J118" s="1" t="s">
        <v>401</v>
      </c>
      <c r="K118" s="1" t="s">
        <v>29</v>
      </c>
      <c r="L118" s="1" t="s">
        <v>30</v>
      </c>
      <c r="M118" s="1" t="s">
        <v>31</v>
      </c>
      <c r="N118" s="1" t="s">
        <v>133</v>
      </c>
      <c r="O118" s="1" t="s">
        <v>101</v>
      </c>
      <c r="P118" s="1">
        <v>21000</v>
      </c>
      <c r="Q118" s="1">
        <v>2020</v>
      </c>
      <c r="R118" s="1">
        <v>202406</v>
      </c>
      <c r="S118" s="1" t="s">
        <v>389</v>
      </c>
      <c r="T118" s="1" t="s">
        <v>362</v>
      </c>
    </row>
    <row r="119" spans="1:20" x14ac:dyDescent="0.15">
      <c r="A119" s="1" t="s">
        <v>402</v>
      </c>
      <c r="B119" s="1" t="s">
        <v>21</v>
      </c>
      <c r="C119" s="1" t="s">
        <v>110</v>
      </c>
      <c r="D119" s="1" t="s">
        <v>90</v>
      </c>
      <c r="E119" s="1" t="s">
        <v>105</v>
      </c>
      <c r="F119" s="1" t="s">
        <v>111</v>
      </c>
      <c r="G119" s="1">
        <v>43000</v>
      </c>
      <c r="H119" s="1" t="s">
        <v>92</v>
      </c>
      <c r="I119" s="1" t="s">
        <v>403</v>
      </c>
      <c r="J119" s="1" t="s">
        <v>404</v>
      </c>
      <c r="K119" s="1" t="s">
        <v>165</v>
      </c>
      <c r="L119" s="1" t="s">
        <v>30</v>
      </c>
      <c r="M119" s="1" t="s">
        <v>166</v>
      </c>
      <c r="O119" s="1" t="s">
        <v>54</v>
      </c>
      <c r="P119" s="1">
        <v>1000</v>
      </c>
      <c r="Q119" s="1">
        <v>2024</v>
      </c>
      <c r="R119" s="1">
        <v>202406</v>
      </c>
      <c r="S119" s="1" t="s">
        <v>389</v>
      </c>
      <c r="T119" s="1" t="s">
        <v>362</v>
      </c>
    </row>
    <row r="120" spans="1:20" x14ac:dyDescent="0.15">
      <c r="A120" s="1" t="s">
        <v>405</v>
      </c>
      <c r="B120" s="1" t="s">
        <v>207</v>
      </c>
      <c r="C120" s="1" t="s">
        <v>406</v>
      </c>
      <c r="D120" s="1" t="s">
        <v>23</v>
      </c>
      <c r="E120" s="1" t="s">
        <v>73</v>
      </c>
      <c r="F120" s="1" t="s">
        <v>25</v>
      </c>
      <c r="G120" s="1">
        <v>29800</v>
      </c>
      <c r="H120" s="1" t="s">
        <v>41</v>
      </c>
      <c r="I120" s="1" t="s">
        <v>407</v>
      </c>
      <c r="J120" s="1" t="s">
        <v>408</v>
      </c>
      <c r="K120" s="1" t="s">
        <v>147</v>
      </c>
      <c r="L120" s="1" t="s">
        <v>52</v>
      </c>
      <c r="M120" s="1" t="s">
        <v>31</v>
      </c>
      <c r="N120" s="1" t="s">
        <v>53</v>
      </c>
      <c r="O120" s="1" t="s">
        <v>46</v>
      </c>
      <c r="P120" s="1">
        <v>22000</v>
      </c>
      <c r="Q120" s="1">
        <v>2021</v>
      </c>
      <c r="R120" s="1">
        <v>202404</v>
      </c>
      <c r="S120" s="1" t="s">
        <v>361</v>
      </c>
      <c r="T120" s="1" t="s">
        <v>362</v>
      </c>
    </row>
    <row r="121" spans="1:20" x14ac:dyDescent="0.15">
      <c r="A121" s="1" t="s">
        <v>409</v>
      </c>
      <c r="B121" s="1" t="s">
        <v>227</v>
      </c>
      <c r="C121" s="1" t="s">
        <v>410</v>
      </c>
      <c r="D121" s="1" t="s">
        <v>90</v>
      </c>
      <c r="E121" s="1" t="s">
        <v>91</v>
      </c>
      <c r="F121" s="1" t="s">
        <v>111</v>
      </c>
      <c r="G121" s="1">
        <v>10435</v>
      </c>
      <c r="H121" s="1" t="s">
        <v>92</v>
      </c>
      <c r="I121" s="1" t="s">
        <v>411</v>
      </c>
      <c r="J121" s="1" t="s">
        <v>66</v>
      </c>
      <c r="K121" s="1" t="s">
        <v>165</v>
      </c>
      <c r="L121" s="1" t="s">
        <v>30</v>
      </c>
      <c r="M121" s="1" t="s">
        <v>166</v>
      </c>
      <c r="O121" s="1" t="s">
        <v>101</v>
      </c>
      <c r="P121" s="1">
        <v>6000</v>
      </c>
      <c r="Q121" s="1">
        <v>2024</v>
      </c>
      <c r="R121" s="1">
        <v>202405</v>
      </c>
      <c r="S121" s="1" t="s">
        <v>375</v>
      </c>
      <c r="T121" s="1" t="s">
        <v>362</v>
      </c>
    </row>
    <row r="122" spans="1:20" x14ac:dyDescent="0.15">
      <c r="A122" s="1" t="s">
        <v>412</v>
      </c>
      <c r="B122" s="1" t="s">
        <v>21</v>
      </c>
      <c r="C122" s="1" t="s">
        <v>37</v>
      </c>
      <c r="D122" s="1" t="s">
        <v>38</v>
      </c>
      <c r="E122" s="1" t="s">
        <v>39</v>
      </c>
      <c r="F122" s="1" t="s">
        <v>40</v>
      </c>
      <c r="G122" s="1">
        <v>27000</v>
      </c>
      <c r="H122" s="1" t="s">
        <v>41</v>
      </c>
      <c r="I122" s="1" t="s">
        <v>359</v>
      </c>
      <c r="J122" s="1" t="s">
        <v>360</v>
      </c>
      <c r="K122" s="1" t="s">
        <v>248</v>
      </c>
      <c r="L122" s="1" t="s">
        <v>52</v>
      </c>
      <c r="M122" s="1" t="s">
        <v>31</v>
      </c>
      <c r="N122" s="1" t="s">
        <v>190</v>
      </c>
      <c r="O122" s="1" t="s">
        <v>101</v>
      </c>
      <c r="P122" s="1">
        <v>32000</v>
      </c>
      <c r="Q122" s="1">
        <v>2020</v>
      </c>
      <c r="R122" s="1">
        <v>202404</v>
      </c>
      <c r="S122" s="1" t="s">
        <v>361</v>
      </c>
      <c r="T122" s="1" t="s">
        <v>362</v>
      </c>
    </row>
    <row r="123" spans="1:20" x14ac:dyDescent="0.15">
      <c r="A123" s="1" t="s">
        <v>413</v>
      </c>
      <c r="B123" s="1" t="s">
        <v>21</v>
      </c>
      <c r="C123" s="1" t="s">
        <v>37</v>
      </c>
      <c r="D123" s="1" t="s">
        <v>38</v>
      </c>
      <c r="E123" s="1" t="s">
        <v>39</v>
      </c>
      <c r="F123" s="1" t="s">
        <v>40</v>
      </c>
      <c r="G123" s="1">
        <v>27000</v>
      </c>
      <c r="H123" s="1" t="s">
        <v>41</v>
      </c>
      <c r="I123" s="1" t="s">
        <v>364</v>
      </c>
      <c r="J123" s="1" t="s">
        <v>365</v>
      </c>
      <c r="K123" s="1" t="s">
        <v>165</v>
      </c>
      <c r="L123" s="1" t="s">
        <v>30</v>
      </c>
      <c r="M123" s="1" t="s">
        <v>166</v>
      </c>
      <c r="O123" s="1" t="s">
        <v>33</v>
      </c>
      <c r="P123" s="1">
        <v>12000</v>
      </c>
      <c r="Q123" s="1">
        <v>2023</v>
      </c>
      <c r="R123" s="1">
        <v>202404</v>
      </c>
      <c r="S123" s="1" t="s">
        <v>361</v>
      </c>
      <c r="T123" s="1" t="s">
        <v>362</v>
      </c>
    </row>
    <row r="124" spans="1:20" x14ac:dyDescent="0.15">
      <c r="A124" s="1" t="s">
        <v>414</v>
      </c>
      <c r="B124" s="1" t="s">
        <v>21</v>
      </c>
      <c r="C124" s="1" t="s">
        <v>37</v>
      </c>
      <c r="D124" s="1" t="s">
        <v>23</v>
      </c>
      <c r="E124" s="1" t="s">
        <v>73</v>
      </c>
      <c r="F124" s="1" t="s">
        <v>25</v>
      </c>
      <c r="G124" s="1">
        <v>29500</v>
      </c>
      <c r="H124" s="1" t="s">
        <v>41</v>
      </c>
      <c r="I124" s="1" t="s">
        <v>367</v>
      </c>
      <c r="J124" s="1" t="s">
        <v>368</v>
      </c>
      <c r="K124" s="1" t="s">
        <v>76</v>
      </c>
      <c r="L124" s="1" t="s">
        <v>30</v>
      </c>
      <c r="M124" s="1" t="s">
        <v>39</v>
      </c>
      <c r="N124" s="1" t="s">
        <v>32</v>
      </c>
      <c r="O124" s="1" t="s">
        <v>61</v>
      </c>
      <c r="P124" s="1">
        <v>9000</v>
      </c>
      <c r="Q124" s="1">
        <v>2023</v>
      </c>
      <c r="R124" s="1">
        <v>202404</v>
      </c>
      <c r="S124" s="1" t="s">
        <v>361</v>
      </c>
      <c r="T124" s="1" t="s">
        <v>362</v>
      </c>
    </row>
    <row r="125" spans="1:20" x14ac:dyDescent="0.15">
      <c r="A125" s="1" t="s">
        <v>415</v>
      </c>
      <c r="B125" s="1" t="s">
        <v>21</v>
      </c>
      <c r="C125" s="1" t="s">
        <v>37</v>
      </c>
      <c r="D125" s="1" t="s">
        <v>38</v>
      </c>
      <c r="E125" s="1" t="s">
        <v>81</v>
      </c>
      <c r="F125" s="1" t="s">
        <v>40</v>
      </c>
      <c r="G125" s="1">
        <v>27000</v>
      </c>
      <c r="H125" s="1" t="s">
        <v>41</v>
      </c>
      <c r="I125" s="1" t="s">
        <v>370</v>
      </c>
      <c r="J125" s="1" t="s">
        <v>371</v>
      </c>
      <c r="K125" s="1" t="s">
        <v>372</v>
      </c>
      <c r="L125" s="1" t="s">
        <v>68</v>
      </c>
      <c r="M125" s="1" t="s">
        <v>31</v>
      </c>
      <c r="N125" s="1" t="s">
        <v>53</v>
      </c>
      <c r="O125" s="1" t="s">
        <v>33</v>
      </c>
      <c r="P125" s="1">
        <v>20000</v>
      </c>
      <c r="Q125" s="1">
        <v>2022</v>
      </c>
      <c r="R125" s="1">
        <v>202404</v>
      </c>
      <c r="S125" s="1" t="s">
        <v>361</v>
      </c>
      <c r="T125" s="1" t="s">
        <v>362</v>
      </c>
    </row>
    <row r="126" spans="1:20" x14ac:dyDescent="0.15">
      <c r="A126" s="1" t="s">
        <v>416</v>
      </c>
      <c r="B126" s="1" t="s">
        <v>21</v>
      </c>
      <c r="C126" s="1" t="s">
        <v>37</v>
      </c>
      <c r="D126" s="1" t="s">
        <v>38</v>
      </c>
      <c r="E126" s="1" t="s">
        <v>39</v>
      </c>
      <c r="F126" s="1" t="s">
        <v>40</v>
      </c>
      <c r="G126" s="1">
        <v>27000</v>
      </c>
      <c r="H126" s="1" t="s">
        <v>41</v>
      </c>
      <c r="I126" s="1" t="s">
        <v>374</v>
      </c>
      <c r="J126" s="1" t="s">
        <v>237</v>
      </c>
      <c r="K126" s="1" t="s">
        <v>248</v>
      </c>
      <c r="L126" s="1" t="s">
        <v>52</v>
      </c>
      <c r="M126" s="1" t="s">
        <v>31</v>
      </c>
      <c r="N126" s="1" t="s">
        <v>156</v>
      </c>
      <c r="O126" s="1" t="s">
        <v>46</v>
      </c>
      <c r="P126" s="1">
        <v>28000</v>
      </c>
      <c r="Q126" s="1">
        <v>2020</v>
      </c>
      <c r="R126" s="1">
        <v>202405</v>
      </c>
      <c r="S126" s="1" t="s">
        <v>375</v>
      </c>
      <c r="T126" s="1" t="s">
        <v>362</v>
      </c>
    </row>
    <row r="127" spans="1:20" x14ac:dyDescent="0.15">
      <c r="A127" s="1" t="s">
        <v>417</v>
      </c>
      <c r="B127" s="1" t="s">
        <v>21</v>
      </c>
      <c r="C127" s="1" t="s">
        <v>103</v>
      </c>
      <c r="D127" s="1" t="s">
        <v>90</v>
      </c>
      <c r="E127" s="1" t="s">
        <v>105</v>
      </c>
      <c r="F127" s="1" t="s">
        <v>25</v>
      </c>
      <c r="G127" s="1">
        <v>35800</v>
      </c>
      <c r="H127" s="1" t="s">
        <v>41</v>
      </c>
      <c r="I127" s="1" t="s">
        <v>377</v>
      </c>
      <c r="J127" s="1" t="s">
        <v>378</v>
      </c>
      <c r="K127" s="1" t="s">
        <v>29</v>
      </c>
      <c r="L127" s="1" t="s">
        <v>30</v>
      </c>
      <c r="M127" s="1" t="s">
        <v>31</v>
      </c>
      <c r="N127" s="1" t="s">
        <v>60</v>
      </c>
      <c r="O127" s="1" t="s">
        <v>54</v>
      </c>
      <c r="P127" s="1">
        <v>11000</v>
      </c>
      <c r="Q127" s="1">
        <v>2023</v>
      </c>
      <c r="R127" s="1">
        <v>202405</v>
      </c>
      <c r="S127" s="1" t="s">
        <v>375</v>
      </c>
      <c r="T127" s="1" t="s">
        <v>362</v>
      </c>
    </row>
    <row r="128" spans="1:20" x14ac:dyDescent="0.15">
      <c r="A128" s="1" t="s">
        <v>418</v>
      </c>
      <c r="B128" s="1" t="s">
        <v>21</v>
      </c>
      <c r="C128" s="1" t="s">
        <v>37</v>
      </c>
      <c r="D128" s="1" t="s">
        <v>38</v>
      </c>
      <c r="E128" s="1" t="s">
        <v>39</v>
      </c>
      <c r="F128" s="1" t="s">
        <v>40</v>
      </c>
      <c r="G128" s="1">
        <v>27000</v>
      </c>
      <c r="H128" s="1" t="s">
        <v>41</v>
      </c>
      <c r="I128" s="1" t="s">
        <v>380</v>
      </c>
      <c r="J128" s="1" t="s">
        <v>381</v>
      </c>
      <c r="K128" s="1" t="s">
        <v>382</v>
      </c>
      <c r="L128" s="1" t="s">
        <v>85</v>
      </c>
      <c r="M128" s="1" t="s">
        <v>31</v>
      </c>
      <c r="N128" s="1" t="s">
        <v>60</v>
      </c>
      <c r="O128" s="1" t="s">
        <v>61</v>
      </c>
      <c r="P128" s="1">
        <v>24000</v>
      </c>
      <c r="Q128" s="1">
        <v>2021</v>
      </c>
      <c r="R128" s="1">
        <v>202405</v>
      </c>
      <c r="S128" s="1" t="s">
        <v>375</v>
      </c>
      <c r="T128" s="1" t="s">
        <v>362</v>
      </c>
    </row>
    <row r="129" spans="1:20" x14ac:dyDescent="0.15">
      <c r="A129" s="1" t="s">
        <v>419</v>
      </c>
      <c r="B129" s="1" t="s">
        <v>21</v>
      </c>
      <c r="C129" s="1" t="s">
        <v>103</v>
      </c>
      <c r="D129" s="1" t="s">
        <v>90</v>
      </c>
      <c r="E129" s="1" t="s">
        <v>105</v>
      </c>
      <c r="F129" s="1" t="s">
        <v>25</v>
      </c>
      <c r="G129" s="1">
        <v>32000</v>
      </c>
      <c r="H129" s="1" t="s">
        <v>41</v>
      </c>
      <c r="I129" s="1" t="s">
        <v>384</v>
      </c>
      <c r="J129" s="1" t="s">
        <v>385</v>
      </c>
      <c r="K129" s="1" t="s">
        <v>248</v>
      </c>
      <c r="L129" s="1" t="s">
        <v>52</v>
      </c>
      <c r="M129" s="1" t="s">
        <v>31</v>
      </c>
      <c r="N129" s="1" t="s">
        <v>156</v>
      </c>
      <c r="O129" s="1" t="s">
        <v>54</v>
      </c>
      <c r="P129" s="1">
        <v>21000</v>
      </c>
      <c r="Q129" s="1">
        <v>2021</v>
      </c>
      <c r="R129" s="1">
        <v>202405</v>
      </c>
      <c r="S129" s="1" t="s">
        <v>375</v>
      </c>
      <c r="T129" s="1" t="s">
        <v>362</v>
      </c>
    </row>
    <row r="130" spans="1:20" x14ac:dyDescent="0.15">
      <c r="A130" s="1" t="s">
        <v>420</v>
      </c>
      <c r="B130" s="1" t="s">
        <v>21</v>
      </c>
      <c r="C130" s="1" t="s">
        <v>110</v>
      </c>
      <c r="D130" s="1" t="s">
        <v>90</v>
      </c>
      <c r="E130" s="1" t="s">
        <v>91</v>
      </c>
      <c r="F130" s="1" t="s">
        <v>25</v>
      </c>
      <c r="G130" s="1">
        <v>44800</v>
      </c>
      <c r="H130" s="1" t="s">
        <v>92</v>
      </c>
      <c r="I130" s="1" t="s">
        <v>387</v>
      </c>
      <c r="J130" s="1" t="s">
        <v>388</v>
      </c>
      <c r="K130" s="1" t="s">
        <v>29</v>
      </c>
      <c r="L130" s="1" t="s">
        <v>30</v>
      </c>
      <c r="M130" s="1" t="s">
        <v>31</v>
      </c>
      <c r="N130" s="1" t="s">
        <v>77</v>
      </c>
      <c r="O130" s="1" t="s">
        <v>101</v>
      </c>
      <c r="P130" s="1">
        <v>18000</v>
      </c>
      <c r="Q130" s="1">
        <v>2022</v>
      </c>
      <c r="R130" s="1">
        <v>202406</v>
      </c>
      <c r="S130" s="1" t="s">
        <v>389</v>
      </c>
      <c r="T130" s="1" t="s">
        <v>362</v>
      </c>
    </row>
    <row r="131" spans="1:20" x14ac:dyDescent="0.15">
      <c r="A131" s="1" t="s">
        <v>421</v>
      </c>
      <c r="B131" s="1" t="s">
        <v>21</v>
      </c>
      <c r="C131" s="1" t="s">
        <v>110</v>
      </c>
      <c r="D131" s="1" t="s">
        <v>90</v>
      </c>
      <c r="E131" s="1" t="s">
        <v>105</v>
      </c>
      <c r="F131" s="1" t="s">
        <v>111</v>
      </c>
      <c r="G131" s="1">
        <v>43000</v>
      </c>
      <c r="H131" s="1" t="s">
        <v>92</v>
      </c>
      <c r="I131" s="1" t="s">
        <v>391</v>
      </c>
      <c r="J131" s="1" t="s">
        <v>392</v>
      </c>
      <c r="K131" s="1" t="s">
        <v>142</v>
      </c>
      <c r="L131" s="1" t="s">
        <v>85</v>
      </c>
      <c r="M131" s="1" t="s">
        <v>31</v>
      </c>
      <c r="N131" s="1" t="s">
        <v>45</v>
      </c>
      <c r="O131" s="1" t="s">
        <v>54</v>
      </c>
      <c r="P131" s="1">
        <v>20000</v>
      </c>
      <c r="Q131" s="1">
        <v>2021</v>
      </c>
      <c r="R131" s="1">
        <v>202406</v>
      </c>
      <c r="S131" s="1" t="s">
        <v>389</v>
      </c>
      <c r="T131" s="1" t="s">
        <v>362</v>
      </c>
    </row>
    <row r="132" spans="1:20" x14ac:dyDescent="0.15">
      <c r="A132" s="1" t="s">
        <v>422</v>
      </c>
      <c r="B132" s="1" t="s">
        <v>21</v>
      </c>
      <c r="C132" s="1" t="s">
        <v>103</v>
      </c>
      <c r="D132" s="1" t="s">
        <v>90</v>
      </c>
      <c r="E132" s="1" t="s">
        <v>105</v>
      </c>
      <c r="F132" s="1" t="s">
        <v>25</v>
      </c>
      <c r="G132" s="1">
        <v>32000</v>
      </c>
      <c r="H132" s="1" t="s">
        <v>41</v>
      </c>
      <c r="I132" s="1" t="s">
        <v>394</v>
      </c>
      <c r="J132" s="1" t="s">
        <v>395</v>
      </c>
      <c r="K132" s="1" t="s">
        <v>248</v>
      </c>
      <c r="L132" s="1" t="s">
        <v>52</v>
      </c>
      <c r="M132" s="1" t="s">
        <v>31</v>
      </c>
      <c r="N132" s="1" t="s">
        <v>156</v>
      </c>
      <c r="O132" s="1" t="s">
        <v>46</v>
      </c>
      <c r="P132" s="1">
        <v>15000</v>
      </c>
      <c r="Q132" s="1">
        <v>2022</v>
      </c>
      <c r="R132" s="1">
        <v>202406</v>
      </c>
      <c r="S132" s="1" t="s">
        <v>389</v>
      </c>
      <c r="T132" s="1" t="s">
        <v>362</v>
      </c>
    </row>
    <row r="133" spans="1:20" x14ac:dyDescent="0.15">
      <c r="A133" s="1" t="s">
        <v>423</v>
      </c>
      <c r="B133" s="1" t="s">
        <v>21</v>
      </c>
      <c r="C133" s="1" t="s">
        <v>397</v>
      </c>
      <c r="D133" s="1" t="s">
        <v>398</v>
      </c>
      <c r="E133" s="1" t="s">
        <v>399</v>
      </c>
      <c r="F133" s="1" t="s">
        <v>25</v>
      </c>
      <c r="G133" s="1">
        <v>33500</v>
      </c>
      <c r="H133" s="1" t="s">
        <v>41</v>
      </c>
      <c r="I133" s="1" t="s">
        <v>400</v>
      </c>
      <c r="J133" s="1" t="s">
        <v>401</v>
      </c>
      <c r="K133" s="1" t="s">
        <v>29</v>
      </c>
      <c r="L133" s="1" t="s">
        <v>30</v>
      </c>
      <c r="M133" s="1" t="s">
        <v>31</v>
      </c>
      <c r="N133" s="1" t="s">
        <v>133</v>
      </c>
      <c r="O133" s="1" t="s">
        <v>101</v>
      </c>
      <c r="P133" s="1">
        <v>21000</v>
      </c>
      <c r="Q133" s="1">
        <v>2020</v>
      </c>
      <c r="R133" s="1">
        <v>202406</v>
      </c>
      <c r="S133" s="1" t="s">
        <v>389</v>
      </c>
      <c r="T133" s="1" t="s">
        <v>362</v>
      </c>
    </row>
    <row r="134" spans="1:20" x14ac:dyDescent="0.15">
      <c r="A134" s="1" t="s">
        <v>424</v>
      </c>
      <c r="B134" s="1" t="s">
        <v>21</v>
      </c>
      <c r="C134" s="1" t="s">
        <v>110</v>
      </c>
      <c r="D134" s="1" t="s">
        <v>90</v>
      </c>
      <c r="E134" s="1" t="s">
        <v>105</v>
      </c>
      <c r="F134" s="1" t="s">
        <v>111</v>
      </c>
      <c r="G134" s="1">
        <v>43000</v>
      </c>
      <c r="H134" s="1" t="s">
        <v>92</v>
      </c>
      <c r="I134" s="1" t="s">
        <v>403</v>
      </c>
      <c r="J134" s="1" t="s">
        <v>404</v>
      </c>
      <c r="K134" s="1" t="s">
        <v>165</v>
      </c>
      <c r="L134" s="1" t="s">
        <v>30</v>
      </c>
      <c r="M134" s="1" t="s">
        <v>166</v>
      </c>
      <c r="O134" s="1" t="s">
        <v>54</v>
      </c>
      <c r="P134" s="1">
        <v>1000</v>
      </c>
      <c r="Q134" s="1">
        <v>2024</v>
      </c>
      <c r="R134" s="1">
        <v>202406</v>
      </c>
      <c r="S134" s="1" t="s">
        <v>389</v>
      </c>
      <c r="T134" s="1" t="s">
        <v>362</v>
      </c>
    </row>
    <row r="135" spans="1:20" x14ac:dyDescent="0.15">
      <c r="A135" s="1" t="s">
        <v>425</v>
      </c>
      <c r="B135" s="1" t="s">
        <v>207</v>
      </c>
      <c r="C135" s="1" t="s">
        <v>406</v>
      </c>
      <c r="D135" s="1" t="s">
        <v>23</v>
      </c>
      <c r="E135" s="1" t="s">
        <v>73</v>
      </c>
      <c r="F135" s="1" t="s">
        <v>25</v>
      </c>
      <c r="G135" s="1">
        <v>29800</v>
      </c>
      <c r="H135" s="1" t="s">
        <v>41</v>
      </c>
      <c r="I135" s="1" t="s">
        <v>407</v>
      </c>
      <c r="J135" s="1" t="s">
        <v>408</v>
      </c>
      <c r="K135" s="1" t="s">
        <v>147</v>
      </c>
      <c r="L135" s="1" t="s">
        <v>52</v>
      </c>
      <c r="M135" s="1" t="s">
        <v>31</v>
      </c>
      <c r="N135" s="1" t="s">
        <v>53</v>
      </c>
      <c r="O135" s="1" t="s">
        <v>46</v>
      </c>
      <c r="P135" s="1">
        <v>22000</v>
      </c>
      <c r="Q135" s="1">
        <v>2021</v>
      </c>
      <c r="R135" s="1">
        <v>202404</v>
      </c>
      <c r="S135" s="1" t="s">
        <v>361</v>
      </c>
      <c r="T135" s="1" t="s">
        <v>362</v>
      </c>
    </row>
    <row r="136" spans="1:20" x14ac:dyDescent="0.15">
      <c r="A136" s="1" t="s">
        <v>426</v>
      </c>
      <c r="B136" s="1" t="s">
        <v>227</v>
      </c>
      <c r="C136" s="1" t="s">
        <v>410</v>
      </c>
      <c r="D136" s="1" t="s">
        <v>90</v>
      </c>
      <c r="E136" s="1" t="s">
        <v>91</v>
      </c>
      <c r="F136" s="1" t="s">
        <v>111</v>
      </c>
      <c r="G136" s="1">
        <v>10435</v>
      </c>
      <c r="H136" s="1" t="s">
        <v>92</v>
      </c>
      <c r="I136" s="1" t="s">
        <v>411</v>
      </c>
      <c r="J136" s="1" t="s">
        <v>66</v>
      </c>
      <c r="K136" s="1" t="s">
        <v>165</v>
      </c>
      <c r="L136" s="1" t="s">
        <v>30</v>
      </c>
      <c r="M136" s="1" t="s">
        <v>166</v>
      </c>
      <c r="O136" s="1" t="s">
        <v>101</v>
      </c>
      <c r="P136" s="1">
        <v>6000</v>
      </c>
      <c r="Q136" s="1">
        <v>2024</v>
      </c>
      <c r="R136" s="1">
        <v>202405</v>
      </c>
      <c r="S136" s="1" t="s">
        <v>375</v>
      </c>
      <c r="T136" s="1" t="s">
        <v>362</v>
      </c>
    </row>
    <row r="137" spans="1:20" x14ac:dyDescent="0.15">
      <c r="A137" s="1" t="s">
        <v>427</v>
      </c>
      <c r="B137" s="1" t="s">
        <v>21</v>
      </c>
      <c r="C137" s="1" t="s">
        <v>37</v>
      </c>
      <c r="D137" s="1" t="s">
        <v>38</v>
      </c>
      <c r="E137" s="1" t="s">
        <v>39</v>
      </c>
      <c r="F137" s="1" t="s">
        <v>40</v>
      </c>
      <c r="G137" s="1">
        <v>27000</v>
      </c>
      <c r="H137" s="1" t="s">
        <v>41</v>
      </c>
      <c r="I137" s="1" t="s">
        <v>359</v>
      </c>
      <c r="J137" s="1" t="s">
        <v>360</v>
      </c>
      <c r="K137" s="1" t="s">
        <v>248</v>
      </c>
      <c r="L137" s="1" t="s">
        <v>52</v>
      </c>
      <c r="M137" s="1" t="s">
        <v>31</v>
      </c>
      <c r="N137" s="1" t="s">
        <v>190</v>
      </c>
      <c r="O137" s="1" t="s">
        <v>101</v>
      </c>
      <c r="P137" s="1">
        <v>32000</v>
      </c>
      <c r="Q137" s="1">
        <v>2020</v>
      </c>
      <c r="R137" s="1">
        <v>202404</v>
      </c>
      <c r="S137" s="1" t="s">
        <v>361</v>
      </c>
      <c r="T137" s="1" t="s">
        <v>362</v>
      </c>
    </row>
    <row r="138" spans="1:20" x14ac:dyDescent="0.15">
      <c r="A138" s="1" t="s">
        <v>428</v>
      </c>
      <c r="B138" s="1" t="s">
        <v>21</v>
      </c>
      <c r="C138" s="1" t="s">
        <v>37</v>
      </c>
      <c r="D138" s="1" t="s">
        <v>38</v>
      </c>
      <c r="E138" s="1" t="s">
        <v>39</v>
      </c>
      <c r="F138" s="1" t="s">
        <v>40</v>
      </c>
      <c r="G138" s="1">
        <v>27000</v>
      </c>
      <c r="H138" s="1" t="s">
        <v>41</v>
      </c>
      <c r="I138" s="1" t="s">
        <v>364</v>
      </c>
      <c r="J138" s="1" t="s">
        <v>365</v>
      </c>
      <c r="K138" s="1" t="s">
        <v>165</v>
      </c>
      <c r="L138" s="1" t="s">
        <v>30</v>
      </c>
      <c r="M138" s="1" t="s">
        <v>166</v>
      </c>
      <c r="O138" s="1" t="s">
        <v>33</v>
      </c>
      <c r="P138" s="1">
        <v>12000</v>
      </c>
      <c r="Q138" s="1">
        <v>2023</v>
      </c>
      <c r="R138" s="1">
        <v>202404</v>
      </c>
      <c r="S138" s="1" t="s">
        <v>361</v>
      </c>
      <c r="T138" s="1" t="s">
        <v>362</v>
      </c>
    </row>
    <row r="139" spans="1:20" x14ac:dyDescent="0.15">
      <c r="A139" s="1" t="s">
        <v>429</v>
      </c>
      <c r="B139" s="1" t="s">
        <v>21</v>
      </c>
      <c r="C139" s="1" t="s">
        <v>37</v>
      </c>
      <c r="D139" s="1" t="s">
        <v>23</v>
      </c>
      <c r="E139" s="1" t="s">
        <v>73</v>
      </c>
      <c r="F139" s="1" t="s">
        <v>25</v>
      </c>
      <c r="G139" s="1">
        <v>29500</v>
      </c>
      <c r="H139" s="1" t="s">
        <v>41</v>
      </c>
      <c r="I139" s="1" t="s">
        <v>367</v>
      </c>
      <c r="J139" s="1" t="s">
        <v>368</v>
      </c>
      <c r="K139" s="1" t="s">
        <v>76</v>
      </c>
      <c r="L139" s="1" t="s">
        <v>30</v>
      </c>
      <c r="M139" s="1" t="s">
        <v>39</v>
      </c>
      <c r="N139" s="1" t="s">
        <v>32</v>
      </c>
      <c r="O139" s="1" t="s">
        <v>61</v>
      </c>
      <c r="P139" s="1">
        <v>9000</v>
      </c>
      <c r="Q139" s="1">
        <v>2023</v>
      </c>
      <c r="R139" s="1">
        <v>202404</v>
      </c>
      <c r="S139" s="1" t="s">
        <v>361</v>
      </c>
      <c r="T139" s="1" t="s">
        <v>362</v>
      </c>
    </row>
    <row r="140" spans="1:20" x14ac:dyDescent="0.15">
      <c r="A140" s="1" t="s">
        <v>430</v>
      </c>
      <c r="B140" s="1" t="s">
        <v>21</v>
      </c>
      <c r="C140" s="1" t="s">
        <v>37</v>
      </c>
      <c r="D140" s="1" t="s">
        <v>38</v>
      </c>
      <c r="E140" s="1" t="s">
        <v>39</v>
      </c>
      <c r="F140" s="1" t="s">
        <v>40</v>
      </c>
      <c r="G140" s="1">
        <v>27000</v>
      </c>
      <c r="H140" s="1" t="s">
        <v>41</v>
      </c>
      <c r="I140" s="1" t="s">
        <v>370</v>
      </c>
      <c r="J140" s="1" t="s">
        <v>371</v>
      </c>
      <c r="K140" s="1" t="s">
        <v>372</v>
      </c>
      <c r="L140" s="1" t="s">
        <v>68</v>
      </c>
      <c r="M140" s="1" t="s">
        <v>31</v>
      </c>
      <c r="N140" s="1" t="s">
        <v>53</v>
      </c>
      <c r="O140" s="1" t="s">
        <v>33</v>
      </c>
      <c r="P140" s="1">
        <v>20000</v>
      </c>
      <c r="Q140" s="1">
        <v>2022</v>
      </c>
      <c r="R140" s="1">
        <v>202404</v>
      </c>
      <c r="S140" s="1" t="s">
        <v>361</v>
      </c>
      <c r="T140" s="1" t="s">
        <v>362</v>
      </c>
    </row>
    <row r="141" spans="1:20" x14ac:dyDescent="0.15">
      <c r="A141" s="1" t="s">
        <v>431</v>
      </c>
      <c r="B141" s="1" t="s">
        <v>21</v>
      </c>
      <c r="C141" s="1" t="s">
        <v>37</v>
      </c>
      <c r="D141" s="1" t="s">
        <v>38</v>
      </c>
      <c r="E141" s="1" t="s">
        <v>39</v>
      </c>
      <c r="F141" s="1" t="s">
        <v>40</v>
      </c>
      <c r="G141" s="1">
        <v>27000</v>
      </c>
      <c r="H141" s="1" t="s">
        <v>41</v>
      </c>
      <c r="I141" s="1" t="s">
        <v>374</v>
      </c>
      <c r="J141" s="1" t="s">
        <v>237</v>
      </c>
      <c r="K141" s="1" t="s">
        <v>248</v>
      </c>
      <c r="L141" s="1" t="s">
        <v>52</v>
      </c>
      <c r="M141" s="1" t="s">
        <v>31</v>
      </c>
      <c r="N141" s="1" t="s">
        <v>156</v>
      </c>
      <c r="O141" s="1" t="s">
        <v>46</v>
      </c>
      <c r="P141" s="1">
        <v>28000</v>
      </c>
      <c r="Q141" s="1">
        <v>2020</v>
      </c>
      <c r="R141" s="1">
        <v>202405</v>
      </c>
      <c r="S141" s="1" t="s">
        <v>375</v>
      </c>
      <c r="T141" s="1" t="s">
        <v>362</v>
      </c>
    </row>
    <row r="142" spans="1:20" x14ac:dyDescent="0.15">
      <c r="A142" s="1" t="s">
        <v>432</v>
      </c>
      <c r="B142" s="1" t="s">
        <v>21</v>
      </c>
      <c r="C142" s="1" t="s">
        <v>103</v>
      </c>
      <c r="D142" s="1" t="s">
        <v>90</v>
      </c>
      <c r="E142" s="1" t="s">
        <v>105</v>
      </c>
      <c r="F142" s="1" t="s">
        <v>25</v>
      </c>
      <c r="G142" s="1">
        <v>35800</v>
      </c>
      <c r="H142" s="1" t="s">
        <v>41</v>
      </c>
      <c r="I142" s="1" t="s">
        <v>377</v>
      </c>
      <c r="J142" s="1" t="s">
        <v>378</v>
      </c>
      <c r="K142" s="1" t="s">
        <v>29</v>
      </c>
      <c r="L142" s="1" t="s">
        <v>30</v>
      </c>
      <c r="M142" s="1" t="s">
        <v>31</v>
      </c>
      <c r="N142" s="1" t="s">
        <v>60</v>
      </c>
      <c r="O142" s="1" t="s">
        <v>54</v>
      </c>
      <c r="P142" s="1">
        <v>11000</v>
      </c>
      <c r="Q142" s="1">
        <v>2023</v>
      </c>
      <c r="R142" s="1">
        <v>202405</v>
      </c>
      <c r="S142" s="1" t="s">
        <v>375</v>
      </c>
      <c r="T142" s="1" t="s">
        <v>362</v>
      </c>
    </row>
    <row r="143" spans="1:20" x14ac:dyDescent="0.15">
      <c r="A143" s="1" t="s">
        <v>433</v>
      </c>
      <c r="B143" s="1" t="s">
        <v>21</v>
      </c>
      <c r="C143" s="1" t="s">
        <v>37</v>
      </c>
      <c r="D143" s="1" t="s">
        <v>38</v>
      </c>
      <c r="E143" s="1" t="s">
        <v>39</v>
      </c>
      <c r="F143" s="1" t="s">
        <v>40</v>
      </c>
      <c r="G143" s="1">
        <v>27000</v>
      </c>
      <c r="H143" s="1" t="s">
        <v>41</v>
      </c>
      <c r="I143" s="1" t="s">
        <v>380</v>
      </c>
      <c r="J143" s="1" t="s">
        <v>381</v>
      </c>
      <c r="K143" s="1" t="s">
        <v>382</v>
      </c>
      <c r="L143" s="1" t="s">
        <v>85</v>
      </c>
      <c r="M143" s="1" t="s">
        <v>31</v>
      </c>
      <c r="N143" s="1" t="s">
        <v>60</v>
      </c>
      <c r="O143" s="1" t="s">
        <v>61</v>
      </c>
      <c r="P143" s="1">
        <v>24000</v>
      </c>
      <c r="Q143" s="1">
        <v>2021</v>
      </c>
      <c r="R143" s="1">
        <v>202405</v>
      </c>
      <c r="S143" s="1" t="s">
        <v>375</v>
      </c>
      <c r="T143" s="1" t="s">
        <v>362</v>
      </c>
    </row>
    <row r="144" spans="1:20" x14ac:dyDescent="0.15">
      <c r="A144" s="1" t="s">
        <v>434</v>
      </c>
      <c r="B144" s="1" t="s">
        <v>21</v>
      </c>
      <c r="C144" s="1" t="s">
        <v>103</v>
      </c>
      <c r="D144" s="1" t="s">
        <v>90</v>
      </c>
      <c r="E144" s="1" t="s">
        <v>105</v>
      </c>
      <c r="F144" s="1" t="s">
        <v>25</v>
      </c>
      <c r="G144" s="1">
        <v>32000</v>
      </c>
      <c r="H144" s="1" t="s">
        <v>41</v>
      </c>
      <c r="I144" s="1" t="s">
        <v>384</v>
      </c>
      <c r="J144" s="1" t="s">
        <v>385</v>
      </c>
      <c r="K144" s="1" t="s">
        <v>248</v>
      </c>
      <c r="L144" s="1" t="s">
        <v>52</v>
      </c>
      <c r="M144" s="1" t="s">
        <v>31</v>
      </c>
      <c r="N144" s="1" t="s">
        <v>156</v>
      </c>
      <c r="O144" s="1" t="s">
        <v>54</v>
      </c>
      <c r="P144" s="1">
        <v>21000</v>
      </c>
      <c r="Q144" s="1">
        <v>2021</v>
      </c>
      <c r="R144" s="1">
        <v>202405</v>
      </c>
      <c r="S144" s="1" t="s">
        <v>375</v>
      </c>
      <c r="T144" s="1" t="s">
        <v>362</v>
      </c>
    </row>
    <row r="145" spans="1:20" x14ac:dyDescent="0.15">
      <c r="A145" s="1" t="s">
        <v>435</v>
      </c>
      <c r="B145" s="1" t="s">
        <v>21</v>
      </c>
      <c r="C145" s="1" t="s">
        <v>110</v>
      </c>
      <c r="D145" s="1" t="s">
        <v>90</v>
      </c>
      <c r="E145" s="1" t="s">
        <v>91</v>
      </c>
      <c r="F145" s="1" t="s">
        <v>25</v>
      </c>
      <c r="G145" s="1">
        <v>44800</v>
      </c>
      <c r="H145" s="1" t="s">
        <v>92</v>
      </c>
      <c r="I145" s="1" t="s">
        <v>387</v>
      </c>
      <c r="J145" s="1" t="s">
        <v>388</v>
      </c>
      <c r="K145" s="1" t="s">
        <v>29</v>
      </c>
      <c r="L145" s="1" t="s">
        <v>30</v>
      </c>
      <c r="M145" s="1" t="s">
        <v>31</v>
      </c>
      <c r="N145" s="1" t="s">
        <v>77</v>
      </c>
      <c r="O145" s="1" t="s">
        <v>101</v>
      </c>
      <c r="P145" s="1">
        <v>18000</v>
      </c>
      <c r="Q145" s="1">
        <v>2022</v>
      </c>
      <c r="R145" s="1">
        <v>202406</v>
      </c>
      <c r="S145" s="1" t="s">
        <v>389</v>
      </c>
      <c r="T145" s="1" t="s">
        <v>362</v>
      </c>
    </row>
    <row r="146" spans="1:20" x14ac:dyDescent="0.15">
      <c r="A146" s="1" t="s">
        <v>436</v>
      </c>
      <c r="B146" s="1" t="s">
        <v>21</v>
      </c>
      <c r="C146" s="1" t="s">
        <v>110</v>
      </c>
      <c r="D146" s="1" t="s">
        <v>90</v>
      </c>
      <c r="E146" s="1" t="s">
        <v>105</v>
      </c>
      <c r="F146" s="1" t="s">
        <v>111</v>
      </c>
      <c r="G146" s="1">
        <v>43000</v>
      </c>
      <c r="H146" s="1" t="s">
        <v>92</v>
      </c>
      <c r="I146" s="1" t="s">
        <v>391</v>
      </c>
      <c r="J146" s="1" t="s">
        <v>392</v>
      </c>
      <c r="K146" s="1" t="s">
        <v>142</v>
      </c>
      <c r="L146" s="1" t="s">
        <v>85</v>
      </c>
      <c r="M146" s="1" t="s">
        <v>31</v>
      </c>
      <c r="N146" s="1" t="s">
        <v>45</v>
      </c>
      <c r="O146" s="1" t="s">
        <v>54</v>
      </c>
      <c r="P146" s="1">
        <v>20000</v>
      </c>
      <c r="Q146" s="1">
        <v>2021</v>
      </c>
      <c r="R146" s="1">
        <v>202406</v>
      </c>
      <c r="S146" s="1" t="s">
        <v>389</v>
      </c>
      <c r="T146" s="1" t="s">
        <v>362</v>
      </c>
    </row>
    <row r="147" spans="1:20" x14ac:dyDescent="0.15">
      <c r="A147" s="1" t="s">
        <v>437</v>
      </c>
      <c r="B147" s="1" t="s">
        <v>21</v>
      </c>
      <c r="C147" s="1" t="s">
        <v>103</v>
      </c>
      <c r="D147" s="1" t="s">
        <v>90</v>
      </c>
      <c r="E147" s="1" t="s">
        <v>105</v>
      </c>
      <c r="F147" s="1" t="s">
        <v>25</v>
      </c>
      <c r="G147" s="1">
        <v>32000</v>
      </c>
      <c r="H147" s="1" t="s">
        <v>41</v>
      </c>
      <c r="I147" s="1" t="s">
        <v>394</v>
      </c>
      <c r="J147" s="1" t="s">
        <v>395</v>
      </c>
      <c r="K147" s="1" t="s">
        <v>248</v>
      </c>
      <c r="L147" s="1" t="s">
        <v>52</v>
      </c>
      <c r="M147" s="1" t="s">
        <v>31</v>
      </c>
      <c r="N147" s="1" t="s">
        <v>156</v>
      </c>
      <c r="O147" s="1" t="s">
        <v>46</v>
      </c>
      <c r="P147" s="1">
        <v>15000</v>
      </c>
      <c r="Q147" s="1">
        <v>2022</v>
      </c>
      <c r="R147" s="1">
        <v>202406</v>
      </c>
      <c r="S147" s="1" t="s">
        <v>389</v>
      </c>
      <c r="T147" s="1" t="s">
        <v>362</v>
      </c>
    </row>
    <row r="148" spans="1:20" x14ac:dyDescent="0.15">
      <c r="A148" s="1" t="s">
        <v>438</v>
      </c>
      <c r="B148" s="1" t="s">
        <v>21</v>
      </c>
      <c r="C148" s="1" t="s">
        <v>397</v>
      </c>
      <c r="D148" s="1" t="s">
        <v>398</v>
      </c>
      <c r="E148" s="1" t="s">
        <v>399</v>
      </c>
      <c r="F148" s="1" t="s">
        <v>25</v>
      </c>
      <c r="G148" s="1">
        <v>33500</v>
      </c>
      <c r="H148" s="1" t="s">
        <v>41</v>
      </c>
      <c r="I148" s="1" t="s">
        <v>400</v>
      </c>
      <c r="J148" s="1" t="s">
        <v>401</v>
      </c>
      <c r="K148" s="1" t="s">
        <v>29</v>
      </c>
      <c r="L148" s="1" t="s">
        <v>30</v>
      </c>
      <c r="M148" s="1" t="s">
        <v>31</v>
      </c>
      <c r="N148" s="1" t="s">
        <v>133</v>
      </c>
      <c r="O148" s="1" t="s">
        <v>101</v>
      </c>
      <c r="P148" s="1">
        <v>21000</v>
      </c>
      <c r="Q148" s="1">
        <v>2020</v>
      </c>
      <c r="R148" s="1">
        <v>202406</v>
      </c>
      <c r="S148" s="1" t="s">
        <v>389</v>
      </c>
      <c r="T148" s="1" t="s">
        <v>362</v>
      </c>
    </row>
    <row r="149" spans="1:20" x14ac:dyDescent="0.15">
      <c r="A149" s="1" t="s">
        <v>439</v>
      </c>
      <c r="B149" s="1" t="s">
        <v>21</v>
      </c>
      <c r="C149" s="1" t="s">
        <v>110</v>
      </c>
      <c r="D149" s="1" t="s">
        <v>90</v>
      </c>
      <c r="E149" s="1" t="s">
        <v>105</v>
      </c>
      <c r="F149" s="1" t="s">
        <v>111</v>
      </c>
      <c r="G149" s="1">
        <v>43000</v>
      </c>
      <c r="H149" s="1" t="s">
        <v>92</v>
      </c>
      <c r="I149" s="1" t="s">
        <v>403</v>
      </c>
      <c r="J149" s="1" t="s">
        <v>404</v>
      </c>
      <c r="K149" s="1" t="s">
        <v>165</v>
      </c>
      <c r="L149" s="1" t="s">
        <v>30</v>
      </c>
      <c r="M149" s="1" t="s">
        <v>166</v>
      </c>
      <c r="O149" s="1" t="s">
        <v>54</v>
      </c>
      <c r="P149" s="1">
        <v>1000</v>
      </c>
      <c r="Q149" s="1">
        <v>2024</v>
      </c>
      <c r="R149" s="1">
        <v>202406</v>
      </c>
      <c r="S149" s="1" t="s">
        <v>389</v>
      </c>
      <c r="T149" s="1" t="s">
        <v>362</v>
      </c>
    </row>
    <row r="150" spans="1:20" x14ac:dyDescent="0.15">
      <c r="A150" s="1" t="s">
        <v>440</v>
      </c>
      <c r="B150" s="1" t="s">
        <v>207</v>
      </c>
      <c r="C150" s="1" t="s">
        <v>406</v>
      </c>
      <c r="D150" s="1" t="s">
        <v>23</v>
      </c>
      <c r="E150" s="1" t="s">
        <v>73</v>
      </c>
      <c r="F150" s="1" t="s">
        <v>25</v>
      </c>
      <c r="G150" s="1">
        <v>29800</v>
      </c>
      <c r="H150" s="1" t="s">
        <v>41</v>
      </c>
      <c r="I150" s="1" t="s">
        <v>407</v>
      </c>
      <c r="J150" s="1" t="s">
        <v>408</v>
      </c>
      <c r="K150" s="1" t="s">
        <v>147</v>
      </c>
      <c r="L150" s="1" t="s">
        <v>52</v>
      </c>
      <c r="M150" s="1" t="s">
        <v>31</v>
      </c>
      <c r="N150" s="1" t="s">
        <v>53</v>
      </c>
      <c r="O150" s="1" t="s">
        <v>46</v>
      </c>
      <c r="P150" s="1">
        <v>22000</v>
      </c>
      <c r="Q150" s="1">
        <v>2021</v>
      </c>
      <c r="R150" s="1">
        <v>202404</v>
      </c>
      <c r="S150" s="1" t="s">
        <v>361</v>
      </c>
      <c r="T150" s="1" t="s">
        <v>362</v>
      </c>
    </row>
    <row r="151" spans="1:20" x14ac:dyDescent="0.15">
      <c r="A151" s="1" t="s">
        <v>441</v>
      </c>
      <c r="B151" s="1" t="s">
        <v>227</v>
      </c>
      <c r="C151" s="1" t="s">
        <v>410</v>
      </c>
      <c r="D151" s="1" t="s">
        <v>90</v>
      </c>
      <c r="E151" s="1" t="s">
        <v>91</v>
      </c>
      <c r="F151" s="1" t="s">
        <v>111</v>
      </c>
      <c r="G151" s="1">
        <v>10436</v>
      </c>
      <c r="H151" s="1" t="s">
        <v>92</v>
      </c>
      <c r="I151" s="1" t="s">
        <v>411</v>
      </c>
      <c r="J151" s="1" t="s">
        <v>66</v>
      </c>
      <c r="K151" s="1" t="s">
        <v>165</v>
      </c>
      <c r="L151" s="1" t="s">
        <v>30</v>
      </c>
      <c r="M151" s="1" t="s">
        <v>166</v>
      </c>
      <c r="O151" s="1" t="s">
        <v>101</v>
      </c>
      <c r="P151" s="1">
        <v>6000</v>
      </c>
      <c r="Q151" s="1">
        <v>2024</v>
      </c>
      <c r="R151" s="1">
        <v>202405</v>
      </c>
      <c r="S151" s="1" t="s">
        <v>375</v>
      </c>
      <c r="T151" s="1" t="s">
        <v>362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ACE0-6AC1-41EA-9640-FD2E9DE6A93F}">
  <dimension ref="A1:G12"/>
  <sheetViews>
    <sheetView showGridLines="0" workbookViewId="0">
      <selection activeCell="G10" sqref="G10"/>
    </sheetView>
  </sheetViews>
  <sheetFormatPr baseColWidth="10" defaultColWidth="8.83203125" defaultRowHeight="13" x14ac:dyDescent="0.15"/>
  <cols>
    <col min="1" max="1" width="32.5" style="3" customWidth="1"/>
    <col min="3" max="3" width="56.5" style="2" customWidth="1"/>
    <col min="4" max="4" width="12.5" customWidth="1"/>
    <col min="5" max="5" width="52.33203125" customWidth="1"/>
    <col min="7" max="7" width="46.33203125" customWidth="1"/>
  </cols>
  <sheetData>
    <row r="1" spans="1:7" ht="20" x14ac:dyDescent="0.2">
      <c r="A1" s="19" t="s">
        <v>442</v>
      </c>
      <c r="C1" s="20" t="s">
        <v>443</v>
      </c>
      <c r="E1" s="19" t="s">
        <v>564</v>
      </c>
      <c r="G1" s="12" t="s">
        <v>443</v>
      </c>
    </row>
    <row r="2" spans="1:7" ht="45" x14ac:dyDescent="0.15">
      <c r="A2" s="18" t="s">
        <v>444</v>
      </c>
      <c r="C2" s="21" t="s">
        <v>563</v>
      </c>
      <c r="E2" s="18" t="s">
        <v>445</v>
      </c>
    </row>
    <row r="3" spans="1:7" ht="14" x14ac:dyDescent="0.15">
      <c r="A3" s="18"/>
      <c r="C3" s="21"/>
    </row>
    <row r="4" spans="1:7" ht="45" x14ac:dyDescent="0.15">
      <c r="A4" s="18" t="s">
        <v>446</v>
      </c>
      <c r="C4" s="21" t="s">
        <v>447</v>
      </c>
      <c r="E4" s="18" t="s">
        <v>448</v>
      </c>
    </row>
    <row r="5" spans="1:7" ht="14" x14ac:dyDescent="0.15">
      <c r="A5" s="18"/>
      <c r="C5" s="21"/>
    </row>
    <row r="6" spans="1:7" ht="15" x14ac:dyDescent="0.15">
      <c r="A6" s="18" t="s">
        <v>449</v>
      </c>
      <c r="C6" s="22" t="s">
        <v>450</v>
      </c>
    </row>
    <row r="7" spans="1:7" ht="14" x14ac:dyDescent="0.15">
      <c r="A7" s="18"/>
      <c r="C7" s="21"/>
    </row>
    <row r="8" spans="1:7" ht="31" x14ac:dyDescent="0.2">
      <c r="A8" s="18" t="s">
        <v>451</v>
      </c>
      <c r="C8" s="22" t="s">
        <v>452</v>
      </c>
      <c r="E8" s="19" t="s">
        <v>565</v>
      </c>
    </row>
    <row r="9" spans="1:7" ht="14" x14ac:dyDescent="0.15">
      <c r="A9" s="18"/>
      <c r="C9" s="21"/>
    </row>
    <row r="10" spans="1:7" ht="126" x14ac:dyDescent="0.15">
      <c r="A10" s="18" t="s">
        <v>453</v>
      </c>
      <c r="C10" s="22" t="s">
        <v>454</v>
      </c>
      <c r="E10" s="32" t="s">
        <v>566</v>
      </c>
      <c r="G10" s="36" t="s">
        <v>572</v>
      </c>
    </row>
    <row r="11" spans="1:7" ht="14" x14ac:dyDescent="0.15">
      <c r="A11" s="18"/>
      <c r="C11" s="21"/>
    </row>
    <row r="12" spans="1:7" ht="105" x14ac:dyDescent="0.15">
      <c r="A12" s="18" t="s">
        <v>455</v>
      </c>
      <c r="C12" s="23" t="s">
        <v>456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abSelected="1" workbookViewId="0">
      <selection activeCell="AF4" sqref="AF4"/>
    </sheetView>
  </sheetViews>
  <sheetFormatPr baseColWidth="10" defaultColWidth="12.5" defaultRowHeight="15.75" customHeight="1" x14ac:dyDescent="0.15"/>
  <cols>
    <col min="1" max="1" width="18.6640625" customWidth="1"/>
    <col min="2" max="12" width="7.5" customWidth="1"/>
    <col min="13" max="13" width="8.33203125" customWidth="1"/>
    <col min="14" max="26" width="7.5" customWidth="1"/>
  </cols>
  <sheetData>
    <row r="1" spans="1:20"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15.75" customHeight="1" x14ac:dyDescent="0.15">
      <c r="A2" s="1" t="s">
        <v>20</v>
      </c>
      <c r="B2" s="1" t="s">
        <v>21</v>
      </c>
      <c r="C2" s="1" t="s">
        <v>22</v>
      </c>
      <c r="D2" s="1" t="s">
        <v>23</v>
      </c>
      <c r="E2" s="1" t="s">
        <v>24</v>
      </c>
      <c r="F2" s="1" t="s">
        <v>25</v>
      </c>
      <c r="G2" s="1">
        <v>24500</v>
      </c>
      <c r="H2" s="1" t="s">
        <v>26</v>
      </c>
      <c r="I2" s="1" t="s">
        <v>27</v>
      </c>
      <c r="J2" s="1" t="s">
        <v>28</v>
      </c>
      <c r="K2" s="1" t="s">
        <v>29</v>
      </c>
      <c r="L2" s="1" t="s">
        <v>30</v>
      </c>
      <c r="M2" s="1" t="s">
        <v>31</v>
      </c>
      <c r="N2" s="1" t="s">
        <v>32</v>
      </c>
      <c r="O2" s="1" t="s">
        <v>33</v>
      </c>
      <c r="P2" s="1">
        <v>8500</v>
      </c>
      <c r="Q2" s="1">
        <v>2021</v>
      </c>
      <c r="R2" s="1">
        <v>202401</v>
      </c>
      <c r="S2" s="1" t="s">
        <v>34</v>
      </c>
      <c r="T2" s="1" t="s">
        <v>35</v>
      </c>
    </row>
    <row r="3" spans="1:20" ht="15.75" customHeight="1" x14ac:dyDescent="0.15">
      <c r="A3" s="1" t="s">
        <v>36</v>
      </c>
      <c r="B3" s="1" t="s">
        <v>21</v>
      </c>
      <c r="C3" s="1" t="s">
        <v>37</v>
      </c>
      <c r="D3" s="1" t="s">
        <v>38</v>
      </c>
      <c r="E3" s="1" t="s">
        <v>39</v>
      </c>
      <c r="F3" s="1" t="s">
        <v>40</v>
      </c>
      <c r="G3" s="1">
        <v>27000</v>
      </c>
      <c r="H3" s="1" t="s">
        <v>41</v>
      </c>
      <c r="I3" s="1" t="s">
        <v>42</v>
      </c>
      <c r="J3" s="1" t="s">
        <v>43</v>
      </c>
      <c r="K3" s="1" t="s">
        <v>44</v>
      </c>
      <c r="L3" s="1" t="s">
        <v>30</v>
      </c>
      <c r="M3" s="1" t="s">
        <v>31</v>
      </c>
      <c r="N3" s="1" t="s">
        <v>45</v>
      </c>
      <c r="O3" s="1" t="s">
        <v>46</v>
      </c>
      <c r="P3" s="1">
        <v>28000</v>
      </c>
      <c r="Q3" s="1">
        <v>2019</v>
      </c>
      <c r="R3" s="1">
        <v>202402</v>
      </c>
      <c r="S3" s="1" t="s">
        <v>47</v>
      </c>
      <c r="T3" s="1" t="s">
        <v>35</v>
      </c>
    </row>
    <row r="4" spans="1:20" ht="15.75" customHeight="1" x14ac:dyDescent="0.15">
      <c r="A4" s="1" t="s">
        <v>36</v>
      </c>
      <c r="B4" s="1" t="s">
        <v>21</v>
      </c>
      <c r="C4" s="1" t="s">
        <v>37</v>
      </c>
      <c r="D4" s="1" t="s">
        <v>38</v>
      </c>
      <c r="E4" s="1" t="s">
        <v>39</v>
      </c>
      <c r="F4" s="1" t="s">
        <v>40</v>
      </c>
      <c r="G4" s="1">
        <v>27000</v>
      </c>
      <c r="H4" s="1" t="s">
        <v>41</v>
      </c>
      <c r="I4" s="1" t="s">
        <v>42</v>
      </c>
      <c r="J4" s="1" t="s">
        <v>43</v>
      </c>
      <c r="K4" s="1" t="s">
        <v>44</v>
      </c>
      <c r="L4" s="1" t="s">
        <v>30</v>
      </c>
      <c r="M4" s="1" t="s">
        <v>31</v>
      </c>
      <c r="N4" s="1" t="s">
        <v>45</v>
      </c>
      <c r="O4" s="1" t="s">
        <v>46</v>
      </c>
      <c r="P4" s="1">
        <v>28000</v>
      </c>
      <c r="Q4" s="1">
        <v>2019</v>
      </c>
      <c r="R4" s="1">
        <v>202402</v>
      </c>
      <c r="S4" s="1" t="s">
        <v>47</v>
      </c>
      <c r="T4" s="1" t="s">
        <v>35</v>
      </c>
    </row>
    <row r="5" spans="1:20" ht="15.75" customHeight="1" x14ac:dyDescent="0.15">
      <c r="A5" s="1" t="s">
        <v>48</v>
      </c>
      <c r="B5" s="1" t="s">
        <v>21</v>
      </c>
      <c r="C5" s="1" t="s">
        <v>22</v>
      </c>
      <c r="D5" s="1" t="s">
        <v>23</v>
      </c>
      <c r="E5" s="1" t="s">
        <v>24</v>
      </c>
      <c r="F5" s="1" t="s">
        <v>25</v>
      </c>
      <c r="G5" s="1">
        <v>22000</v>
      </c>
      <c r="H5" s="1" t="s">
        <v>26</v>
      </c>
      <c r="I5" s="1" t="s">
        <v>49</v>
      </c>
      <c r="J5" s="1" t="s">
        <v>50</v>
      </c>
      <c r="K5" s="1" t="s">
        <v>51</v>
      </c>
      <c r="L5" s="1" t="s">
        <v>52</v>
      </c>
      <c r="M5" s="1" t="s">
        <v>31</v>
      </c>
      <c r="N5" s="1" t="s">
        <v>53</v>
      </c>
      <c r="O5" s="1" t="s">
        <v>54</v>
      </c>
      <c r="P5" s="1">
        <v>19000</v>
      </c>
      <c r="Q5" s="1">
        <v>2021</v>
      </c>
      <c r="R5" s="1">
        <v>202403</v>
      </c>
      <c r="S5" s="1" t="s">
        <v>55</v>
      </c>
      <c r="T5" s="1" t="s">
        <v>35</v>
      </c>
    </row>
    <row r="6" spans="1:20" ht="15.75" customHeight="1" x14ac:dyDescent="0.15">
      <c r="A6" s="1" t="s">
        <v>56</v>
      </c>
      <c r="B6" s="1" t="s">
        <v>21</v>
      </c>
      <c r="C6" s="1" t="s">
        <v>22</v>
      </c>
      <c r="D6" s="1" t="s">
        <v>23</v>
      </c>
      <c r="E6" s="1" t="s">
        <v>24</v>
      </c>
      <c r="F6" s="1" t="s">
        <v>25</v>
      </c>
      <c r="G6" s="1">
        <v>22000</v>
      </c>
      <c r="H6" s="1" t="s">
        <v>26</v>
      </c>
      <c r="I6" s="1" t="s">
        <v>49</v>
      </c>
      <c r="J6" s="1" t="s">
        <v>50</v>
      </c>
      <c r="K6" s="1" t="s">
        <v>51</v>
      </c>
      <c r="L6" s="1" t="s">
        <v>52</v>
      </c>
      <c r="M6" s="1" t="s">
        <v>31</v>
      </c>
      <c r="N6" s="1" t="s">
        <v>53</v>
      </c>
      <c r="O6" s="1" t="s">
        <v>54</v>
      </c>
      <c r="P6" s="1">
        <v>19000</v>
      </c>
      <c r="Q6" s="1">
        <v>2021</v>
      </c>
      <c r="R6" s="1">
        <v>202403</v>
      </c>
      <c r="S6" s="1" t="s">
        <v>55</v>
      </c>
      <c r="T6" s="1" t="s">
        <v>35</v>
      </c>
    </row>
    <row r="7" spans="1:20" ht="15.75" customHeight="1" x14ac:dyDescent="0.15">
      <c r="A7" s="1" t="s">
        <v>20</v>
      </c>
      <c r="B7" s="1" t="s">
        <v>21</v>
      </c>
      <c r="C7" s="1" t="s">
        <v>22</v>
      </c>
      <c r="D7" s="1" t="s">
        <v>457</v>
      </c>
      <c r="E7" s="1" t="s">
        <v>24</v>
      </c>
      <c r="F7" s="1" t="s">
        <v>25</v>
      </c>
      <c r="G7" s="1">
        <v>24500</v>
      </c>
      <c r="H7" s="1" t="s">
        <v>26</v>
      </c>
      <c r="I7" s="1" t="s">
        <v>27</v>
      </c>
      <c r="J7" s="1" t="s">
        <v>28</v>
      </c>
      <c r="K7" s="1" t="s">
        <v>29</v>
      </c>
      <c r="L7" s="1" t="s">
        <v>30</v>
      </c>
      <c r="M7" s="1" t="s">
        <v>31</v>
      </c>
      <c r="N7" s="1" t="s">
        <v>32</v>
      </c>
      <c r="O7" s="1" t="s">
        <v>33</v>
      </c>
      <c r="P7" s="1">
        <v>8500</v>
      </c>
      <c r="Q7" s="1">
        <v>2021</v>
      </c>
      <c r="R7" s="1">
        <v>202401</v>
      </c>
      <c r="S7" s="1" t="s">
        <v>34</v>
      </c>
      <c r="T7" s="1" t="s">
        <v>35</v>
      </c>
    </row>
    <row r="8" spans="1:20" ht="15.75" customHeight="1" x14ac:dyDescent="0.15">
      <c r="A8" s="1" t="s">
        <v>57</v>
      </c>
      <c r="B8" s="1" t="s">
        <v>21</v>
      </c>
      <c r="C8" s="1" t="s">
        <v>22</v>
      </c>
      <c r="D8" s="1" t="s">
        <v>23</v>
      </c>
      <c r="E8" s="1" t="s">
        <v>24</v>
      </c>
      <c r="F8" s="1" t="s">
        <v>25</v>
      </c>
      <c r="G8" s="1">
        <v>22000</v>
      </c>
      <c r="H8" s="1" t="s">
        <v>26</v>
      </c>
      <c r="I8" s="1" t="s">
        <v>58</v>
      </c>
      <c r="J8" s="1" t="s">
        <v>59</v>
      </c>
      <c r="K8" s="1" t="s">
        <v>29</v>
      </c>
      <c r="L8" s="1" t="s">
        <v>30</v>
      </c>
      <c r="M8" s="1" t="s">
        <v>39</v>
      </c>
      <c r="N8" s="1" t="s">
        <v>60</v>
      </c>
      <c r="O8" s="1" t="s">
        <v>61</v>
      </c>
      <c r="P8" s="1">
        <v>14000</v>
      </c>
      <c r="Q8" s="1">
        <v>2022</v>
      </c>
      <c r="R8" s="1">
        <v>202403</v>
      </c>
      <c r="S8" s="1" t="s">
        <v>55</v>
      </c>
      <c r="T8" s="1" t="s">
        <v>35</v>
      </c>
    </row>
    <row r="9" spans="1:20" ht="15.75" customHeight="1" x14ac:dyDescent="0.15">
      <c r="A9" s="1" t="s">
        <v>62</v>
      </c>
      <c r="B9" s="1" t="s">
        <v>21</v>
      </c>
      <c r="C9" s="1" t="s">
        <v>63</v>
      </c>
      <c r="D9" s="1" t="s">
        <v>23</v>
      </c>
      <c r="E9" s="1" t="s">
        <v>64</v>
      </c>
      <c r="F9" s="1" t="s">
        <v>25</v>
      </c>
      <c r="G9" s="1">
        <v>28000</v>
      </c>
      <c r="H9" s="1" t="s">
        <v>41</v>
      </c>
      <c r="I9" s="1" t="s">
        <v>65</v>
      </c>
      <c r="J9" s="1" t="s">
        <v>66</v>
      </c>
      <c r="K9" s="1" t="s">
        <v>67</v>
      </c>
      <c r="L9" s="1" t="s">
        <v>68</v>
      </c>
      <c r="M9" s="1" t="s">
        <v>31</v>
      </c>
      <c r="N9" s="1" t="s">
        <v>69</v>
      </c>
      <c r="O9" s="1" t="s">
        <v>70</v>
      </c>
      <c r="P9" s="1">
        <v>21000</v>
      </c>
      <c r="Q9" s="1">
        <v>2021</v>
      </c>
      <c r="R9" s="1">
        <v>202403</v>
      </c>
      <c r="S9" s="1" t="s">
        <v>55</v>
      </c>
      <c r="T9" s="1" t="s">
        <v>35</v>
      </c>
    </row>
    <row r="10" spans="1:20" ht="15.75" customHeight="1" x14ac:dyDescent="0.15">
      <c r="A10" s="1" t="s">
        <v>71</v>
      </c>
      <c r="B10" s="1" t="s">
        <v>21</v>
      </c>
      <c r="C10" s="1" t="s">
        <v>72</v>
      </c>
      <c r="D10" s="1" t="s">
        <v>23</v>
      </c>
      <c r="E10" s="1" t="s">
        <v>73</v>
      </c>
      <c r="F10" s="1" t="s">
        <v>25</v>
      </c>
      <c r="G10" s="1">
        <v>39500</v>
      </c>
      <c r="H10" s="1" t="s">
        <v>41</v>
      </c>
      <c r="I10" s="1" t="s">
        <v>74</v>
      </c>
      <c r="J10" s="1" t="s">
        <v>75</v>
      </c>
      <c r="K10" s="1" t="s">
        <v>76</v>
      </c>
      <c r="L10" s="1" t="s">
        <v>30</v>
      </c>
      <c r="M10" s="1" t="s">
        <v>31</v>
      </c>
      <c r="N10" s="1" t="s">
        <v>77</v>
      </c>
      <c r="O10" s="1" t="s">
        <v>46</v>
      </c>
      <c r="P10" s="1">
        <v>17000</v>
      </c>
      <c r="Q10" s="1">
        <v>2021</v>
      </c>
      <c r="R10" s="1">
        <v>202407</v>
      </c>
      <c r="S10" s="1" t="s">
        <v>78</v>
      </c>
      <c r="T10" s="1" t="s">
        <v>79</v>
      </c>
    </row>
    <row r="11" spans="1:20" ht="15.75" customHeight="1" x14ac:dyDescent="0.15">
      <c r="A11" s="1" t="s">
        <v>80</v>
      </c>
      <c r="B11" s="1" t="s">
        <v>21</v>
      </c>
      <c r="C11" s="1" t="s">
        <v>37</v>
      </c>
      <c r="D11" s="1" t="s">
        <v>38</v>
      </c>
      <c r="E11" s="1" t="s">
        <v>81</v>
      </c>
      <c r="F11" s="1" t="s">
        <v>40</v>
      </c>
      <c r="G11" s="1">
        <v>27000</v>
      </c>
      <c r="H11" s="1" t="s">
        <v>41</v>
      </c>
      <c r="I11" s="1" t="s">
        <v>82</v>
      </c>
      <c r="J11" s="1" t="s">
        <v>83</v>
      </c>
      <c r="K11" s="1" t="s">
        <v>84</v>
      </c>
      <c r="L11" s="1" t="s">
        <v>85</v>
      </c>
      <c r="M11" s="1" t="s">
        <v>31</v>
      </c>
      <c r="N11" s="1" t="s">
        <v>86</v>
      </c>
      <c r="O11" s="1" t="s">
        <v>87</v>
      </c>
      <c r="P11" s="1">
        <v>11000</v>
      </c>
      <c r="Q11" s="1">
        <v>2023</v>
      </c>
      <c r="R11" s="1">
        <v>202407</v>
      </c>
      <c r="S11" s="1" t="s">
        <v>78</v>
      </c>
      <c r="T11" s="1" t="s">
        <v>79</v>
      </c>
    </row>
    <row r="12" spans="1:20" ht="15.75" customHeight="1" x14ac:dyDescent="0.15">
      <c r="A12" s="1" t="s">
        <v>88</v>
      </c>
      <c r="B12" s="1" t="s">
        <v>21</v>
      </c>
      <c r="C12" s="1" t="s">
        <v>89</v>
      </c>
      <c r="D12" s="1" t="s">
        <v>90</v>
      </c>
      <c r="E12" s="1" t="s">
        <v>91</v>
      </c>
      <c r="F12" s="1" t="s">
        <v>25</v>
      </c>
      <c r="G12" s="1">
        <v>56900</v>
      </c>
      <c r="H12" s="1" t="s">
        <v>92</v>
      </c>
      <c r="I12" s="1" t="s">
        <v>93</v>
      </c>
      <c r="J12" s="1" t="s">
        <v>94</v>
      </c>
      <c r="K12" s="1" t="s">
        <v>29</v>
      </c>
      <c r="L12" s="1" t="s">
        <v>30</v>
      </c>
      <c r="M12" s="1" t="s">
        <v>31</v>
      </c>
      <c r="N12" s="1" t="s">
        <v>95</v>
      </c>
      <c r="O12" s="1" t="s">
        <v>46</v>
      </c>
      <c r="P12" s="1">
        <v>28000</v>
      </c>
      <c r="Q12" s="1">
        <v>2019</v>
      </c>
      <c r="R12" s="1">
        <v>202407</v>
      </c>
      <c r="S12" s="1" t="s">
        <v>78</v>
      </c>
      <c r="T12" s="1" t="s">
        <v>79</v>
      </c>
    </row>
    <row r="13" spans="1:20" ht="15.75" customHeight="1" x14ac:dyDescent="0.15">
      <c r="A13" s="1" t="s">
        <v>96</v>
      </c>
      <c r="B13" s="1" t="s">
        <v>21</v>
      </c>
      <c r="C13" s="1" t="s">
        <v>22</v>
      </c>
      <c r="D13" s="1" t="s">
        <v>23</v>
      </c>
      <c r="E13" s="1" t="s">
        <v>24</v>
      </c>
      <c r="F13" s="1" t="s">
        <v>25</v>
      </c>
      <c r="G13" s="1">
        <v>22000</v>
      </c>
      <c r="H13" s="1" t="s">
        <v>26</v>
      </c>
      <c r="I13" s="1" t="s">
        <v>97</v>
      </c>
      <c r="J13" s="1" t="s">
        <v>98</v>
      </c>
      <c r="K13" s="1" t="s">
        <v>99</v>
      </c>
      <c r="L13" s="1" t="s">
        <v>68</v>
      </c>
      <c r="M13" s="1" t="s">
        <v>31</v>
      </c>
      <c r="N13" s="1" t="s">
        <v>100</v>
      </c>
      <c r="O13" s="1" t="s">
        <v>101</v>
      </c>
      <c r="P13" s="1">
        <v>25000</v>
      </c>
      <c r="Q13" s="1">
        <v>2020</v>
      </c>
      <c r="R13" s="1">
        <v>202407</v>
      </c>
      <c r="S13" s="1" t="s">
        <v>78</v>
      </c>
      <c r="T13" s="1" t="s">
        <v>79</v>
      </c>
    </row>
    <row r="14" spans="1:20" ht="15.75" customHeight="1" x14ac:dyDescent="0.15">
      <c r="A14" s="1" t="s">
        <v>102</v>
      </c>
      <c r="B14" s="1" t="s">
        <v>21</v>
      </c>
      <c r="C14" s="1" t="s">
        <v>103</v>
      </c>
      <c r="D14" s="1" t="s">
        <v>104</v>
      </c>
      <c r="E14" s="1" t="s">
        <v>105</v>
      </c>
      <c r="F14" s="1" t="s">
        <v>25</v>
      </c>
      <c r="G14" s="1">
        <v>32000</v>
      </c>
      <c r="H14" s="1" t="s">
        <v>41</v>
      </c>
      <c r="I14" s="1" t="s">
        <v>106</v>
      </c>
      <c r="J14" s="1" t="s">
        <v>107</v>
      </c>
      <c r="K14" s="1" t="s">
        <v>51</v>
      </c>
      <c r="L14" s="1" t="s">
        <v>52</v>
      </c>
      <c r="M14" s="1" t="s">
        <v>31</v>
      </c>
      <c r="N14" s="1" t="s">
        <v>77</v>
      </c>
      <c r="O14" s="1" t="s">
        <v>54</v>
      </c>
      <c r="P14" s="1">
        <v>22000</v>
      </c>
      <c r="Q14" s="1">
        <v>2021</v>
      </c>
      <c r="R14" s="1">
        <v>202408</v>
      </c>
      <c r="S14" s="1" t="s">
        <v>108</v>
      </c>
      <c r="T14" s="1" t="s">
        <v>79</v>
      </c>
    </row>
    <row r="15" spans="1:20" ht="15.75" customHeight="1" x14ac:dyDescent="0.15">
      <c r="A15" s="1" t="s">
        <v>109</v>
      </c>
      <c r="B15" s="1" t="s">
        <v>21</v>
      </c>
      <c r="C15" s="1" t="s">
        <v>110</v>
      </c>
      <c r="D15" s="1" t="s">
        <v>90</v>
      </c>
      <c r="E15" s="1" t="s">
        <v>105</v>
      </c>
      <c r="F15" s="1" t="s">
        <v>111</v>
      </c>
      <c r="G15" s="1">
        <v>43000</v>
      </c>
      <c r="H15" s="1" t="s">
        <v>92</v>
      </c>
      <c r="I15" s="1" t="s">
        <v>112</v>
      </c>
      <c r="J15" s="1" t="s">
        <v>113</v>
      </c>
      <c r="K15" s="1" t="s">
        <v>29</v>
      </c>
      <c r="L15" s="1" t="s">
        <v>30</v>
      </c>
      <c r="M15" s="1" t="s">
        <v>39</v>
      </c>
      <c r="N15" s="1" t="s">
        <v>60</v>
      </c>
      <c r="O15" s="1" t="s">
        <v>33</v>
      </c>
      <c r="P15" s="1">
        <v>15000</v>
      </c>
      <c r="Q15" s="1">
        <v>2022</v>
      </c>
      <c r="R15" s="1">
        <v>202408</v>
      </c>
      <c r="S15" s="1" t="s">
        <v>108</v>
      </c>
      <c r="T15" s="1" t="s">
        <v>79</v>
      </c>
    </row>
    <row r="16" spans="1:20" ht="15.75" customHeight="1" x14ac:dyDescent="0.15">
      <c r="A16" s="1" t="s">
        <v>114</v>
      </c>
      <c r="B16" s="1" t="s">
        <v>21</v>
      </c>
      <c r="C16" s="1" t="s">
        <v>115</v>
      </c>
      <c r="D16" s="1" t="s">
        <v>23</v>
      </c>
      <c r="E16" s="1" t="s">
        <v>73</v>
      </c>
      <c r="F16" s="1" t="s">
        <v>25</v>
      </c>
      <c r="G16" s="1">
        <v>58500</v>
      </c>
      <c r="H16" s="1" t="s">
        <v>92</v>
      </c>
      <c r="I16" s="1" t="s">
        <v>116</v>
      </c>
      <c r="J16" s="1" t="s">
        <v>117</v>
      </c>
      <c r="K16" s="1" t="s">
        <v>44</v>
      </c>
      <c r="L16" s="1" t="s">
        <v>30</v>
      </c>
      <c r="M16" s="1" t="s">
        <v>118</v>
      </c>
      <c r="O16" s="1" t="s">
        <v>61</v>
      </c>
      <c r="P16" s="1">
        <v>27000</v>
      </c>
      <c r="Q16" s="1">
        <v>2019</v>
      </c>
      <c r="R16" s="1">
        <v>202408</v>
      </c>
      <c r="S16" s="1" t="s">
        <v>108</v>
      </c>
      <c r="T16" s="1" t="s">
        <v>79</v>
      </c>
    </row>
    <row r="17" spans="1:20" ht="15.75" customHeight="1" x14ac:dyDescent="0.15">
      <c r="A17" s="1" t="s">
        <v>119</v>
      </c>
      <c r="B17" s="1" t="s">
        <v>21</v>
      </c>
      <c r="C17" s="1" t="s">
        <v>120</v>
      </c>
      <c r="D17" s="1" t="s">
        <v>90</v>
      </c>
      <c r="E17" s="1" t="s">
        <v>91</v>
      </c>
      <c r="F17" s="1" t="s">
        <v>25</v>
      </c>
      <c r="G17" s="1">
        <v>31500</v>
      </c>
      <c r="H17" s="1" t="s">
        <v>41</v>
      </c>
      <c r="I17" s="1" t="s">
        <v>121</v>
      </c>
      <c r="J17" s="1" t="s">
        <v>122</v>
      </c>
      <c r="K17" s="1" t="s">
        <v>29</v>
      </c>
      <c r="L17" s="1" t="s">
        <v>30</v>
      </c>
      <c r="M17" s="1" t="s">
        <v>31</v>
      </c>
      <c r="N17" s="1" t="s">
        <v>123</v>
      </c>
      <c r="O17" s="1" t="s">
        <v>124</v>
      </c>
      <c r="P17" s="1">
        <v>40000</v>
      </c>
      <c r="Q17" s="1">
        <v>2017</v>
      </c>
      <c r="R17" s="1">
        <v>202408</v>
      </c>
      <c r="S17" s="1" t="s">
        <v>108</v>
      </c>
      <c r="T17" s="1" t="s">
        <v>79</v>
      </c>
    </row>
    <row r="18" spans="1:20" ht="15.75" customHeight="1" x14ac:dyDescent="0.15">
      <c r="A18" s="1" t="s">
        <v>125</v>
      </c>
      <c r="B18" s="1" t="s">
        <v>21</v>
      </c>
      <c r="C18" s="1" t="s">
        <v>110</v>
      </c>
      <c r="D18" s="1" t="s">
        <v>90</v>
      </c>
      <c r="E18" s="1" t="s">
        <v>105</v>
      </c>
      <c r="F18" s="1" t="s">
        <v>111</v>
      </c>
      <c r="G18" s="1">
        <v>43000</v>
      </c>
      <c r="H18" s="1" t="s">
        <v>92</v>
      </c>
      <c r="I18" s="1" t="s">
        <v>126</v>
      </c>
      <c r="J18" s="1" t="s">
        <v>127</v>
      </c>
      <c r="K18" s="1" t="s">
        <v>44</v>
      </c>
      <c r="L18" s="1" t="s">
        <v>30</v>
      </c>
      <c r="M18" s="1" t="s">
        <v>31</v>
      </c>
      <c r="N18" s="1" t="s">
        <v>128</v>
      </c>
      <c r="O18" s="1" t="s">
        <v>46</v>
      </c>
      <c r="P18" s="1">
        <v>42000</v>
      </c>
      <c r="Q18" s="1">
        <v>2017</v>
      </c>
      <c r="R18" s="1">
        <v>202408</v>
      </c>
      <c r="S18" s="1" t="s">
        <v>108</v>
      </c>
      <c r="T18" s="1" t="s">
        <v>79</v>
      </c>
    </row>
    <row r="19" spans="1:20" ht="15.75" customHeight="1" x14ac:dyDescent="0.15">
      <c r="A19" s="1" t="s">
        <v>129</v>
      </c>
      <c r="B19" s="1" t="s">
        <v>21</v>
      </c>
      <c r="C19" s="1" t="s">
        <v>130</v>
      </c>
      <c r="D19" s="1" t="s">
        <v>90</v>
      </c>
      <c r="E19" s="1" t="s">
        <v>91</v>
      </c>
      <c r="F19" s="1" t="s">
        <v>25</v>
      </c>
      <c r="G19" s="1">
        <v>35800</v>
      </c>
      <c r="H19" s="1" t="s">
        <v>41</v>
      </c>
      <c r="I19" s="1" t="s">
        <v>131</v>
      </c>
      <c r="J19" s="1" t="s">
        <v>132</v>
      </c>
      <c r="K19" s="1" t="s">
        <v>29</v>
      </c>
      <c r="L19" s="1" t="s">
        <v>30</v>
      </c>
      <c r="M19" s="1" t="s">
        <v>31</v>
      </c>
      <c r="N19" s="1" t="s">
        <v>133</v>
      </c>
      <c r="O19" s="1" t="s">
        <v>54</v>
      </c>
      <c r="P19" s="1">
        <v>24000</v>
      </c>
      <c r="Q19" s="1">
        <v>2020</v>
      </c>
      <c r="R19" s="1">
        <v>202409</v>
      </c>
      <c r="S19" s="1" t="s">
        <v>134</v>
      </c>
      <c r="T19" s="1" t="s">
        <v>79</v>
      </c>
    </row>
    <row r="20" spans="1:20" ht="15.75" customHeight="1" x14ac:dyDescent="0.15">
      <c r="A20" s="1" t="s">
        <v>135</v>
      </c>
      <c r="B20" s="1" t="s">
        <v>21</v>
      </c>
      <c r="C20" s="1" t="s">
        <v>37</v>
      </c>
      <c r="D20" s="1" t="s">
        <v>38</v>
      </c>
      <c r="E20" s="1" t="s">
        <v>81</v>
      </c>
      <c r="F20" s="1" t="s">
        <v>40</v>
      </c>
      <c r="G20" s="1">
        <v>27000</v>
      </c>
      <c r="H20" s="1" t="s">
        <v>41</v>
      </c>
      <c r="I20" s="1" t="s">
        <v>136</v>
      </c>
      <c r="J20" s="1" t="s">
        <v>137</v>
      </c>
      <c r="K20" s="1" t="s">
        <v>138</v>
      </c>
      <c r="L20" s="1" t="s">
        <v>30</v>
      </c>
      <c r="M20" s="1" t="s">
        <v>31</v>
      </c>
      <c r="N20" s="1" t="s">
        <v>45</v>
      </c>
      <c r="O20" s="1" t="s">
        <v>61</v>
      </c>
      <c r="P20" s="1">
        <v>31000</v>
      </c>
      <c r="Q20" s="1">
        <v>2019</v>
      </c>
      <c r="R20" s="1">
        <v>202409</v>
      </c>
      <c r="S20" s="1" t="s">
        <v>134</v>
      </c>
      <c r="T20" s="1" t="s">
        <v>79</v>
      </c>
    </row>
    <row r="21" spans="1:20" ht="15.75" customHeight="1" x14ac:dyDescent="0.15">
      <c r="A21" s="1" t="s">
        <v>139</v>
      </c>
      <c r="B21" s="1" t="s">
        <v>21</v>
      </c>
      <c r="C21" s="1" t="s">
        <v>110</v>
      </c>
      <c r="D21" s="1" t="s">
        <v>90</v>
      </c>
      <c r="E21" s="1" t="s">
        <v>105</v>
      </c>
      <c r="F21" s="1" t="s">
        <v>111</v>
      </c>
      <c r="G21" s="1">
        <v>43000</v>
      </c>
      <c r="H21" s="1" t="s">
        <v>92</v>
      </c>
      <c r="I21" s="1" t="s">
        <v>140</v>
      </c>
      <c r="J21" s="1" t="s">
        <v>141</v>
      </c>
      <c r="K21" s="1" t="s">
        <v>142</v>
      </c>
      <c r="L21" s="1" t="s">
        <v>85</v>
      </c>
      <c r="M21" s="1" t="s">
        <v>31</v>
      </c>
      <c r="N21" s="1" t="s">
        <v>45</v>
      </c>
      <c r="O21" s="1" t="s">
        <v>143</v>
      </c>
      <c r="P21" s="1">
        <v>34000</v>
      </c>
      <c r="Q21" s="1">
        <v>2018</v>
      </c>
      <c r="R21" s="1">
        <v>202409</v>
      </c>
      <c r="S21" s="1" t="s">
        <v>134</v>
      </c>
      <c r="T21" s="1" t="s">
        <v>79</v>
      </c>
    </row>
    <row r="22" spans="1:20" ht="15.75" customHeight="1" x14ac:dyDescent="0.15">
      <c r="A22" s="1" t="s">
        <v>144</v>
      </c>
      <c r="B22" s="1" t="s">
        <v>21</v>
      </c>
      <c r="C22" s="1" t="s">
        <v>110</v>
      </c>
      <c r="D22" s="1" t="s">
        <v>104</v>
      </c>
      <c r="E22" s="1" t="s">
        <v>105</v>
      </c>
      <c r="F22" s="1" t="s">
        <v>111</v>
      </c>
      <c r="G22" s="1">
        <v>43000</v>
      </c>
      <c r="H22" s="1" t="s">
        <v>92</v>
      </c>
      <c r="I22" s="1" t="s">
        <v>145</v>
      </c>
      <c r="J22" s="1" t="s">
        <v>146</v>
      </c>
      <c r="K22" s="1" t="s">
        <v>147</v>
      </c>
      <c r="L22" s="1" t="s">
        <v>52</v>
      </c>
      <c r="M22" s="1" t="s">
        <v>31</v>
      </c>
      <c r="N22" s="1" t="s">
        <v>53</v>
      </c>
      <c r="O22" s="1" t="s">
        <v>61</v>
      </c>
      <c r="P22" s="1">
        <v>21000</v>
      </c>
      <c r="Q22" s="1">
        <v>2021</v>
      </c>
      <c r="R22" s="1">
        <v>202409</v>
      </c>
      <c r="S22" s="1" t="s">
        <v>134</v>
      </c>
      <c r="T22" s="1" t="s">
        <v>79</v>
      </c>
    </row>
    <row r="23" spans="1:20" ht="15.75" customHeight="1" x14ac:dyDescent="0.15">
      <c r="A23" s="1" t="s">
        <v>148</v>
      </c>
      <c r="B23" s="1" t="s">
        <v>21</v>
      </c>
      <c r="C23" s="1" t="s">
        <v>149</v>
      </c>
      <c r="D23" s="1" t="s">
        <v>23</v>
      </c>
      <c r="E23" s="1" t="s">
        <v>24</v>
      </c>
      <c r="F23" s="1" t="s">
        <v>25</v>
      </c>
      <c r="G23" s="1">
        <v>18500</v>
      </c>
      <c r="H23" s="1" t="s">
        <v>26</v>
      </c>
      <c r="I23" s="1" t="s">
        <v>150</v>
      </c>
      <c r="J23" s="1" t="s">
        <v>151</v>
      </c>
      <c r="K23" s="1" t="s">
        <v>76</v>
      </c>
      <c r="L23" s="1" t="s">
        <v>30</v>
      </c>
      <c r="M23" s="1" t="s">
        <v>31</v>
      </c>
      <c r="N23" s="1" t="s">
        <v>53</v>
      </c>
      <c r="O23" s="1" t="s">
        <v>70</v>
      </c>
      <c r="P23" s="1">
        <v>18000</v>
      </c>
      <c r="Q23" s="1">
        <v>2022</v>
      </c>
      <c r="R23" s="1">
        <v>202409</v>
      </c>
      <c r="S23" s="1" t="s">
        <v>134</v>
      </c>
      <c r="T23" s="1" t="s">
        <v>79</v>
      </c>
    </row>
    <row r="24" spans="1:20" ht="15.75" customHeight="1" x14ac:dyDescent="0.15">
      <c r="A24" s="1" t="s">
        <v>152</v>
      </c>
      <c r="B24" s="1" t="s">
        <v>21</v>
      </c>
      <c r="C24" s="1" t="s">
        <v>153</v>
      </c>
      <c r="D24" s="1" t="s">
        <v>90</v>
      </c>
      <c r="E24" s="1" t="s">
        <v>91</v>
      </c>
      <c r="F24" s="1" t="s">
        <v>25</v>
      </c>
      <c r="G24" s="1">
        <v>26500</v>
      </c>
      <c r="H24" s="1" t="s">
        <v>41</v>
      </c>
      <c r="I24" s="1" t="s">
        <v>154</v>
      </c>
      <c r="J24" s="1" t="s">
        <v>155</v>
      </c>
      <c r="K24" s="1" t="s">
        <v>29</v>
      </c>
      <c r="L24" s="1" t="s">
        <v>30</v>
      </c>
      <c r="M24" s="1" t="s">
        <v>31</v>
      </c>
      <c r="N24" s="1" t="s">
        <v>156</v>
      </c>
      <c r="O24" s="1" t="s">
        <v>46</v>
      </c>
      <c r="P24" s="1">
        <v>18000</v>
      </c>
      <c r="Q24" s="1">
        <v>2022</v>
      </c>
      <c r="R24" s="1">
        <v>202410</v>
      </c>
      <c r="S24" s="1" t="s">
        <v>157</v>
      </c>
      <c r="T24" s="1" t="s">
        <v>158</v>
      </c>
    </row>
    <row r="25" spans="1:20" ht="15.75" customHeight="1" x14ac:dyDescent="0.15">
      <c r="A25" s="1" t="s">
        <v>159</v>
      </c>
      <c r="B25" s="1" t="s">
        <v>21</v>
      </c>
      <c r="C25" s="1" t="s">
        <v>63</v>
      </c>
      <c r="D25" s="1" t="s">
        <v>23</v>
      </c>
      <c r="E25" s="1" t="s">
        <v>64</v>
      </c>
      <c r="F25" s="1" t="s">
        <v>25</v>
      </c>
      <c r="G25" s="1">
        <v>28000</v>
      </c>
      <c r="H25" s="1" t="s">
        <v>41</v>
      </c>
      <c r="I25" s="1" t="s">
        <v>160</v>
      </c>
      <c r="J25" s="1" t="s">
        <v>161</v>
      </c>
      <c r="K25" s="1" t="s">
        <v>44</v>
      </c>
      <c r="L25" s="1" t="s">
        <v>30</v>
      </c>
      <c r="M25" s="1" t="s">
        <v>31</v>
      </c>
      <c r="N25" s="1" t="s">
        <v>156</v>
      </c>
      <c r="O25" s="1" t="s">
        <v>61</v>
      </c>
      <c r="P25" s="1">
        <v>15000</v>
      </c>
      <c r="Q25" s="1">
        <v>2022</v>
      </c>
      <c r="R25" s="1">
        <v>202410</v>
      </c>
      <c r="S25" s="1" t="s">
        <v>157</v>
      </c>
      <c r="T25" s="1" t="s">
        <v>158</v>
      </c>
    </row>
    <row r="26" spans="1:20" ht="15.75" customHeight="1" x14ac:dyDescent="0.15">
      <c r="A26" s="1" t="s">
        <v>162</v>
      </c>
      <c r="B26" s="1" t="s">
        <v>21</v>
      </c>
      <c r="C26" s="1" t="s">
        <v>103</v>
      </c>
      <c r="D26" s="1" t="s">
        <v>90</v>
      </c>
      <c r="E26" s="1" t="s">
        <v>105</v>
      </c>
      <c r="F26" s="1" t="s">
        <v>25</v>
      </c>
      <c r="G26" s="1">
        <v>32000</v>
      </c>
      <c r="H26" s="1" t="s">
        <v>41</v>
      </c>
      <c r="I26" s="1" t="s">
        <v>163</v>
      </c>
      <c r="J26" s="1" t="s">
        <v>164</v>
      </c>
      <c r="K26" s="1" t="s">
        <v>165</v>
      </c>
      <c r="L26" s="1" t="s">
        <v>30</v>
      </c>
      <c r="M26" s="1" t="s">
        <v>166</v>
      </c>
      <c r="O26" s="1" t="s">
        <v>54</v>
      </c>
      <c r="P26" s="1">
        <v>2500</v>
      </c>
      <c r="Q26" s="1">
        <v>2024</v>
      </c>
      <c r="R26" s="1">
        <v>202410</v>
      </c>
      <c r="S26" s="1" t="s">
        <v>157</v>
      </c>
      <c r="T26" s="1" t="s">
        <v>158</v>
      </c>
    </row>
    <row r="27" spans="1:20" ht="15.75" customHeight="1" x14ac:dyDescent="0.15">
      <c r="A27" s="1" t="s">
        <v>167</v>
      </c>
      <c r="B27" s="1" t="s">
        <v>21</v>
      </c>
      <c r="C27" s="1" t="s">
        <v>37</v>
      </c>
      <c r="D27" s="1" t="s">
        <v>38</v>
      </c>
      <c r="E27" s="1" t="s">
        <v>81</v>
      </c>
      <c r="F27" s="1" t="s">
        <v>40</v>
      </c>
      <c r="G27" s="1">
        <v>27000</v>
      </c>
      <c r="H27" s="1" t="s">
        <v>41</v>
      </c>
      <c r="I27" s="1" t="s">
        <v>168</v>
      </c>
      <c r="J27" s="1" t="s">
        <v>169</v>
      </c>
      <c r="K27" s="1" t="s">
        <v>147</v>
      </c>
      <c r="L27" s="1" t="s">
        <v>52</v>
      </c>
      <c r="M27" s="1" t="s">
        <v>39</v>
      </c>
      <c r="N27" s="1" t="s">
        <v>53</v>
      </c>
      <c r="O27" s="1" t="s">
        <v>33</v>
      </c>
      <c r="P27" s="1">
        <v>11000</v>
      </c>
      <c r="Q27" s="1">
        <v>2023</v>
      </c>
      <c r="R27" s="1">
        <v>202410</v>
      </c>
      <c r="S27" s="1" t="s">
        <v>157</v>
      </c>
      <c r="T27" s="1" t="s">
        <v>158</v>
      </c>
    </row>
    <row r="28" spans="1:20" ht="15.75" customHeight="1" x14ac:dyDescent="0.15">
      <c r="A28" s="1" t="s">
        <v>170</v>
      </c>
      <c r="B28" s="1" t="s">
        <v>21</v>
      </c>
      <c r="C28" s="1" t="s">
        <v>115</v>
      </c>
      <c r="D28" s="1" t="s">
        <v>23</v>
      </c>
      <c r="E28" s="1" t="s">
        <v>73</v>
      </c>
      <c r="F28" s="1" t="s">
        <v>25</v>
      </c>
      <c r="G28" s="1">
        <v>58500</v>
      </c>
      <c r="H28" s="1" t="s">
        <v>92</v>
      </c>
      <c r="I28" s="1" t="s">
        <v>171</v>
      </c>
      <c r="J28" s="1" t="s">
        <v>172</v>
      </c>
      <c r="K28" s="1" t="s">
        <v>29</v>
      </c>
      <c r="L28" s="1" t="s">
        <v>30</v>
      </c>
      <c r="M28" s="1" t="s">
        <v>118</v>
      </c>
      <c r="O28" s="1" t="s">
        <v>61</v>
      </c>
      <c r="P28" s="1">
        <v>5000</v>
      </c>
      <c r="Q28" s="1">
        <v>2024</v>
      </c>
      <c r="R28" s="1">
        <v>202410</v>
      </c>
      <c r="S28" s="1" t="s">
        <v>157</v>
      </c>
      <c r="T28" s="1" t="s">
        <v>158</v>
      </c>
    </row>
    <row r="29" spans="1:20" ht="15.75" customHeight="1" x14ac:dyDescent="0.15">
      <c r="A29" s="1" t="s">
        <v>173</v>
      </c>
      <c r="B29" s="1" t="s">
        <v>21</v>
      </c>
      <c r="C29" s="1" t="s">
        <v>103</v>
      </c>
      <c r="D29" s="1" t="s">
        <v>90</v>
      </c>
      <c r="E29" s="1" t="s">
        <v>105</v>
      </c>
      <c r="F29" s="1" t="s">
        <v>25</v>
      </c>
      <c r="G29" s="1">
        <v>32000</v>
      </c>
      <c r="H29" s="1" t="s">
        <v>41</v>
      </c>
      <c r="I29" s="1" t="s">
        <v>174</v>
      </c>
      <c r="J29" s="1" t="s">
        <v>175</v>
      </c>
      <c r="K29" s="1" t="s">
        <v>142</v>
      </c>
      <c r="L29" s="1" t="s">
        <v>85</v>
      </c>
      <c r="M29" s="1" t="s">
        <v>39</v>
      </c>
      <c r="N29" s="1" t="s">
        <v>156</v>
      </c>
      <c r="O29" s="1" t="s">
        <v>46</v>
      </c>
      <c r="P29" s="1">
        <v>6000</v>
      </c>
      <c r="Q29" s="1">
        <v>2024</v>
      </c>
      <c r="R29" s="1">
        <v>202410</v>
      </c>
      <c r="S29" s="1" t="s">
        <v>157</v>
      </c>
      <c r="T29" s="1" t="s">
        <v>158</v>
      </c>
    </row>
    <row r="30" spans="1:20" ht="15.75" customHeight="1" x14ac:dyDescent="0.15">
      <c r="A30" s="1" t="s">
        <v>176</v>
      </c>
      <c r="B30" s="1" t="s">
        <v>21</v>
      </c>
      <c r="C30" s="1" t="s">
        <v>110</v>
      </c>
      <c r="D30" s="1" t="s">
        <v>104</v>
      </c>
      <c r="E30" s="1" t="s">
        <v>105</v>
      </c>
      <c r="F30" s="1" t="s">
        <v>111</v>
      </c>
      <c r="G30" s="1">
        <v>43000</v>
      </c>
      <c r="H30" s="1" t="s">
        <v>92</v>
      </c>
      <c r="I30" s="1" t="s">
        <v>177</v>
      </c>
      <c r="J30" s="1" t="s">
        <v>178</v>
      </c>
      <c r="K30" s="1" t="s">
        <v>29</v>
      </c>
      <c r="L30" s="1" t="s">
        <v>30</v>
      </c>
      <c r="M30" s="1" t="s">
        <v>166</v>
      </c>
      <c r="O30" s="1" t="s">
        <v>61</v>
      </c>
      <c r="P30" s="1">
        <v>4500</v>
      </c>
      <c r="Q30" s="1">
        <v>2024</v>
      </c>
      <c r="R30" s="1">
        <v>202411</v>
      </c>
      <c r="S30" s="1" t="s">
        <v>179</v>
      </c>
      <c r="T30" s="1" t="s">
        <v>158</v>
      </c>
    </row>
    <row r="31" spans="1:20" ht="15.75" customHeight="1" x14ac:dyDescent="0.15">
      <c r="A31" s="1" t="s">
        <v>180</v>
      </c>
      <c r="B31" s="1" t="s">
        <v>21</v>
      </c>
      <c r="C31" s="1" t="s">
        <v>63</v>
      </c>
      <c r="D31" s="1" t="s">
        <v>23</v>
      </c>
      <c r="E31" s="1" t="s">
        <v>64</v>
      </c>
      <c r="F31" s="1" t="s">
        <v>25</v>
      </c>
      <c r="G31" s="1">
        <v>28000</v>
      </c>
      <c r="H31" s="1" t="s">
        <v>41</v>
      </c>
      <c r="I31" s="1" t="s">
        <v>181</v>
      </c>
      <c r="J31" s="1" t="s">
        <v>182</v>
      </c>
      <c r="K31" s="1" t="s">
        <v>183</v>
      </c>
      <c r="L31" s="1" t="s">
        <v>85</v>
      </c>
      <c r="M31" s="1" t="s">
        <v>166</v>
      </c>
      <c r="O31" s="1" t="s">
        <v>46</v>
      </c>
      <c r="P31" s="1">
        <v>3500</v>
      </c>
      <c r="Q31" s="1">
        <v>2024</v>
      </c>
      <c r="R31" s="1">
        <v>202411</v>
      </c>
      <c r="S31" s="1" t="s">
        <v>179</v>
      </c>
      <c r="T31" s="1" t="s">
        <v>158</v>
      </c>
    </row>
    <row r="32" spans="1:20" ht="15.75" customHeight="1" x14ac:dyDescent="0.15">
      <c r="A32" s="1" t="s">
        <v>184</v>
      </c>
      <c r="B32" s="1" t="s">
        <v>21</v>
      </c>
      <c r="C32" s="1" t="s">
        <v>115</v>
      </c>
      <c r="D32" s="1" t="s">
        <v>23</v>
      </c>
      <c r="E32" s="1" t="s">
        <v>73</v>
      </c>
      <c r="F32" s="1" t="s">
        <v>25</v>
      </c>
      <c r="G32" s="1">
        <v>58500</v>
      </c>
      <c r="H32" s="1" t="s">
        <v>92</v>
      </c>
      <c r="I32" s="1" t="s">
        <v>185</v>
      </c>
      <c r="J32" s="1" t="s">
        <v>186</v>
      </c>
      <c r="K32" s="1" t="s">
        <v>76</v>
      </c>
      <c r="L32" s="1" t="s">
        <v>30</v>
      </c>
      <c r="M32" s="1" t="s">
        <v>118</v>
      </c>
      <c r="O32" s="1" t="s">
        <v>124</v>
      </c>
      <c r="P32" s="1">
        <v>6000</v>
      </c>
      <c r="Q32" s="1">
        <v>2023</v>
      </c>
      <c r="R32" s="1">
        <v>202411</v>
      </c>
      <c r="S32" s="1" t="s">
        <v>179</v>
      </c>
      <c r="T32" s="1" t="s">
        <v>158</v>
      </c>
    </row>
    <row r="33" spans="1:20" ht="15.75" customHeight="1" x14ac:dyDescent="0.15">
      <c r="A33" s="1" t="s">
        <v>187</v>
      </c>
      <c r="B33" s="1" t="s">
        <v>21</v>
      </c>
      <c r="C33" s="1" t="s">
        <v>63</v>
      </c>
      <c r="D33" s="1" t="s">
        <v>23</v>
      </c>
      <c r="E33" s="1" t="s">
        <v>64</v>
      </c>
      <c r="F33" s="1" t="s">
        <v>25</v>
      </c>
      <c r="G33" s="1">
        <v>28000</v>
      </c>
      <c r="H33" s="1" t="s">
        <v>41</v>
      </c>
      <c r="I33" s="1" t="s">
        <v>188</v>
      </c>
      <c r="J33" s="1" t="s">
        <v>189</v>
      </c>
      <c r="K33" s="1" t="s">
        <v>183</v>
      </c>
      <c r="L33" s="1" t="s">
        <v>85</v>
      </c>
      <c r="M33" s="1" t="s">
        <v>31</v>
      </c>
      <c r="N33" s="1" t="s">
        <v>190</v>
      </c>
      <c r="O33" s="1" t="s">
        <v>54</v>
      </c>
      <c r="P33" s="1">
        <v>4000</v>
      </c>
      <c r="Q33" s="1">
        <v>2024</v>
      </c>
      <c r="R33" s="1">
        <v>202411</v>
      </c>
      <c r="S33" s="1" t="s">
        <v>179</v>
      </c>
      <c r="T33" s="1" t="s">
        <v>158</v>
      </c>
    </row>
    <row r="34" spans="1:20" ht="15.75" customHeight="1" x14ac:dyDescent="0.15">
      <c r="A34" s="1" t="s">
        <v>191</v>
      </c>
      <c r="B34" s="1" t="s">
        <v>21</v>
      </c>
      <c r="C34" s="1" t="s">
        <v>110</v>
      </c>
      <c r="D34" s="1" t="s">
        <v>104</v>
      </c>
      <c r="E34" s="1" t="s">
        <v>105</v>
      </c>
      <c r="F34" s="1" t="s">
        <v>111</v>
      </c>
      <c r="G34" s="1">
        <v>43000</v>
      </c>
      <c r="H34" s="1" t="s">
        <v>92</v>
      </c>
      <c r="I34" s="1" t="s">
        <v>192</v>
      </c>
      <c r="J34" s="1" t="s">
        <v>193</v>
      </c>
      <c r="K34" s="1" t="s">
        <v>142</v>
      </c>
      <c r="L34" s="1" t="s">
        <v>85</v>
      </c>
      <c r="M34" s="1" t="s">
        <v>31</v>
      </c>
      <c r="N34" s="1" t="s">
        <v>95</v>
      </c>
      <c r="O34" s="1" t="s">
        <v>46</v>
      </c>
      <c r="P34" s="1">
        <v>8000</v>
      </c>
      <c r="Q34" s="1">
        <v>2023</v>
      </c>
      <c r="R34" s="1">
        <v>202411</v>
      </c>
      <c r="S34" s="1" t="s">
        <v>179</v>
      </c>
      <c r="T34" s="1" t="s">
        <v>158</v>
      </c>
    </row>
    <row r="35" spans="1:20" ht="15.75" customHeight="1" x14ac:dyDescent="0.15">
      <c r="A35" s="1" t="s">
        <v>194</v>
      </c>
      <c r="B35" s="1" t="s">
        <v>21</v>
      </c>
      <c r="C35" s="1" t="s">
        <v>115</v>
      </c>
      <c r="D35" s="1" t="s">
        <v>23</v>
      </c>
      <c r="E35" s="1" t="s">
        <v>73</v>
      </c>
      <c r="F35" s="1" t="s">
        <v>25</v>
      </c>
      <c r="G35" s="1">
        <v>58500</v>
      </c>
      <c r="H35" s="1" t="s">
        <v>92</v>
      </c>
      <c r="I35" s="1" t="s">
        <v>195</v>
      </c>
      <c r="J35" s="1" t="s">
        <v>196</v>
      </c>
      <c r="K35" s="1" t="s">
        <v>29</v>
      </c>
      <c r="L35" s="1" t="s">
        <v>30</v>
      </c>
      <c r="M35" s="1" t="s">
        <v>118</v>
      </c>
      <c r="O35" s="1" t="s">
        <v>61</v>
      </c>
      <c r="P35" s="1">
        <v>3000</v>
      </c>
      <c r="Q35" s="1">
        <v>2024</v>
      </c>
      <c r="R35" s="1">
        <v>202412</v>
      </c>
      <c r="S35" s="1" t="s">
        <v>197</v>
      </c>
      <c r="T35" s="1" t="s">
        <v>158</v>
      </c>
    </row>
    <row r="36" spans="1:20" ht="15.75" customHeight="1" x14ac:dyDescent="0.15">
      <c r="A36" s="1" t="s">
        <v>198</v>
      </c>
      <c r="B36" s="1" t="s">
        <v>21</v>
      </c>
      <c r="C36" s="1" t="s">
        <v>103</v>
      </c>
      <c r="D36" s="1" t="s">
        <v>90</v>
      </c>
      <c r="E36" s="1" t="s">
        <v>105</v>
      </c>
      <c r="F36" s="1" t="s">
        <v>25</v>
      </c>
      <c r="G36" s="1">
        <v>32000</v>
      </c>
      <c r="H36" s="1" t="s">
        <v>41</v>
      </c>
      <c r="I36" s="1" t="s">
        <v>199</v>
      </c>
      <c r="J36" s="1" t="s">
        <v>200</v>
      </c>
      <c r="K36" s="1" t="s">
        <v>44</v>
      </c>
      <c r="L36" s="1" t="s">
        <v>30</v>
      </c>
      <c r="M36" s="1" t="s">
        <v>31</v>
      </c>
      <c r="N36" s="1" t="s">
        <v>201</v>
      </c>
      <c r="O36" s="1" t="s">
        <v>54</v>
      </c>
      <c r="P36" s="1">
        <v>3500</v>
      </c>
      <c r="Q36" s="1">
        <v>2024</v>
      </c>
      <c r="R36" s="1">
        <v>202412</v>
      </c>
      <c r="S36" s="1" t="s">
        <v>197</v>
      </c>
      <c r="T36" s="1" t="s">
        <v>158</v>
      </c>
    </row>
    <row r="37" spans="1:20" ht="15.75" customHeight="1" x14ac:dyDescent="0.15">
      <c r="A37" s="1" t="s">
        <v>202</v>
      </c>
      <c r="B37" s="1" t="s">
        <v>21</v>
      </c>
      <c r="C37" s="1" t="s">
        <v>63</v>
      </c>
      <c r="D37" s="1" t="s">
        <v>23</v>
      </c>
      <c r="E37" s="1" t="s">
        <v>64</v>
      </c>
      <c r="F37" s="1" t="s">
        <v>25</v>
      </c>
      <c r="G37" s="1">
        <v>28000</v>
      </c>
      <c r="H37" s="1" t="s">
        <v>41</v>
      </c>
      <c r="I37" s="1" t="s">
        <v>203</v>
      </c>
      <c r="J37" s="1" t="s">
        <v>204</v>
      </c>
      <c r="K37" s="1" t="s">
        <v>142</v>
      </c>
      <c r="L37" s="1" t="s">
        <v>85</v>
      </c>
      <c r="M37" s="1" t="s">
        <v>31</v>
      </c>
      <c r="N37" s="1" t="s">
        <v>205</v>
      </c>
      <c r="O37" s="1" t="s">
        <v>101</v>
      </c>
      <c r="P37" s="1">
        <v>5000</v>
      </c>
      <c r="Q37" s="1">
        <v>2024</v>
      </c>
      <c r="R37" s="1">
        <v>202412</v>
      </c>
      <c r="S37" s="1" t="s">
        <v>197</v>
      </c>
      <c r="T37" s="1" t="s">
        <v>158</v>
      </c>
    </row>
    <row r="38" spans="1:20" ht="15.75" customHeight="1" x14ac:dyDescent="0.15">
      <c r="A38" s="1" t="s">
        <v>206</v>
      </c>
      <c r="B38" s="1" t="s">
        <v>207</v>
      </c>
      <c r="C38" s="1" t="s">
        <v>208</v>
      </c>
      <c r="D38" s="1" t="s">
        <v>23</v>
      </c>
      <c r="E38" s="1" t="s">
        <v>24</v>
      </c>
      <c r="F38" s="1" t="s">
        <v>25</v>
      </c>
      <c r="G38" s="1">
        <v>24500</v>
      </c>
      <c r="H38" s="1" t="s">
        <v>26</v>
      </c>
      <c r="I38" s="1" t="s">
        <v>209</v>
      </c>
      <c r="J38" s="1" t="s">
        <v>210</v>
      </c>
      <c r="K38" s="1" t="s">
        <v>147</v>
      </c>
      <c r="L38" s="1" t="s">
        <v>52</v>
      </c>
      <c r="M38" s="1" t="s">
        <v>31</v>
      </c>
      <c r="N38" s="1" t="s">
        <v>53</v>
      </c>
      <c r="O38" s="1" t="s">
        <v>61</v>
      </c>
      <c r="P38" s="1">
        <v>15000</v>
      </c>
      <c r="Q38" s="1">
        <v>2021</v>
      </c>
      <c r="R38" s="1">
        <v>202401</v>
      </c>
      <c r="S38" s="1" t="s">
        <v>34</v>
      </c>
      <c r="T38" s="1" t="s">
        <v>35</v>
      </c>
    </row>
    <row r="39" spans="1:20" ht="15.75" customHeight="1" x14ac:dyDescent="0.15">
      <c r="A39" s="1" t="s">
        <v>211</v>
      </c>
      <c r="B39" s="1" t="s">
        <v>212</v>
      </c>
      <c r="C39" s="1" t="s">
        <v>213</v>
      </c>
      <c r="D39" s="1" t="s">
        <v>23</v>
      </c>
      <c r="E39" s="1" t="s">
        <v>73</v>
      </c>
      <c r="F39" s="1" t="s">
        <v>25</v>
      </c>
      <c r="G39" s="1">
        <v>26800</v>
      </c>
      <c r="H39" s="1" t="s">
        <v>41</v>
      </c>
      <c r="I39" s="1" t="s">
        <v>214</v>
      </c>
      <c r="J39" s="1" t="s">
        <v>215</v>
      </c>
      <c r="L39" s="1" t="s">
        <v>52</v>
      </c>
      <c r="M39" s="1" t="s">
        <v>31</v>
      </c>
      <c r="N39" s="1" t="s">
        <v>60</v>
      </c>
      <c r="O39" s="1" t="s">
        <v>54</v>
      </c>
      <c r="P39" s="1">
        <v>22000</v>
      </c>
      <c r="Q39" s="1">
        <v>2020</v>
      </c>
      <c r="R39" s="1">
        <v>202402</v>
      </c>
      <c r="S39" s="1" t="s">
        <v>47</v>
      </c>
      <c r="T39" s="1" t="s">
        <v>35</v>
      </c>
    </row>
    <row r="40" spans="1:20" ht="15.75" customHeight="1" x14ac:dyDescent="0.15">
      <c r="A40" s="1" t="s">
        <v>216</v>
      </c>
      <c r="B40" s="1" t="s">
        <v>217</v>
      </c>
      <c r="C40" s="1" t="s">
        <v>218</v>
      </c>
      <c r="D40" s="1" t="s">
        <v>23</v>
      </c>
      <c r="E40" s="1" t="s">
        <v>24</v>
      </c>
      <c r="F40" s="1" t="s">
        <v>25</v>
      </c>
      <c r="G40" s="1">
        <v>22900</v>
      </c>
      <c r="H40" s="1" t="s">
        <v>26</v>
      </c>
      <c r="I40" s="1" t="s">
        <v>219</v>
      </c>
      <c r="J40" s="1" t="s">
        <v>220</v>
      </c>
      <c r="K40" s="1" t="s">
        <v>44</v>
      </c>
      <c r="L40" s="1" t="s">
        <v>30</v>
      </c>
      <c r="M40" s="1" t="s">
        <v>31</v>
      </c>
      <c r="N40" s="1" t="s">
        <v>156</v>
      </c>
      <c r="O40" s="1" t="s">
        <v>70</v>
      </c>
      <c r="P40" s="1">
        <v>12000</v>
      </c>
      <c r="Q40" s="1">
        <v>2022</v>
      </c>
      <c r="R40" s="1">
        <v>202402</v>
      </c>
      <c r="S40" s="1" t="s">
        <v>47</v>
      </c>
      <c r="T40" s="1" t="s">
        <v>35</v>
      </c>
    </row>
    <row r="41" spans="1:20" ht="15.75" customHeight="1" x14ac:dyDescent="0.15">
      <c r="A41" s="1" t="s">
        <v>221</v>
      </c>
      <c r="B41" s="1" t="s">
        <v>222</v>
      </c>
      <c r="C41" s="1" t="s">
        <v>223</v>
      </c>
      <c r="D41" s="1" t="s">
        <v>90</v>
      </c>
      <c r="E41" s="1" t="s">
        <v>91</v>
      </c>
      <c r="F41" s="1" t="s">
        <v>25</v>
      </c>
      <c r="G41" s="1">
        <v>38900</v>
      </c>
      <c r="H41" s="1" t="s">
        <v>41</v>
      </c>
      <c r="I41" s="1" t="s">
        <v>224</v>
      </c>
      <c r="J41" s="1" t="s">
        <v>225</v>
      </c>
      <c r="K41" s="1" t="s">
        <v>142</v>
      </c>
      <c r="L41" s="1" t="s">
        <v>85</v>
      </c>
      <c r="M41" s="1" t="s">
        <v>31</v>
      </c>
      <c r="N41" s="1" t="s">
        <v>86</v>
      </c>
      <c r="O41" s="1" t="s">
        <v>101</v>
      </c>
      <c r="P41" s="1">
        <v>35000</v>
      </c>
      <c r="Q41" s="1">
        <v>2020</v>
      </c>
      <c r="R41" s="1">
        <v>202402</v>
      </c>
      <c r="S41" s="1" t="s">
        <v>47</v>
      </c>
      <c r="T41" s="1" t="s">
        <v>35</v>
      </c>
    </row>
    <row r="42" spans="1:20" ht="15.75" customHeight="1" x14ac:dyDescent="0.15">
      <c r="A42" s="1" t="s">
        <v>226</v>
      </c>
      <c r="B42" s="1" t="s">
        <v>227</v>
      </c>
      <c r="C42" s="1" t="s">
        <v>228</v>
      </c>
      <c r="D42" s="1" t="s">
        <v>23</v>
      </c>
      <c r="E42" s="1" t="s">
        <v>73</v>
      </c>
      <c r="F42" s="1" t="s">
        <v>111</v>
      </c>
      <c r="G42" s="1">
        <v>89500</v>
      </c>
      <c r="H42" s="1" t="s">
        <v>229</v>
      </c>
      <c r="I42" s="1" t="s">
        <v>230</v>
      </c>
      <c r="J42" s="1" t="s">
        <v>231</v>
      </c>
      <c r="K42" s="1" t="s">
        <v>165</v>
      </c>
      <c r="L42" s="1" t="s">
        <v>30</v>
      </c>
      <c r="M42" s="1" t="s">
        <v>166</v>
      </c>
      <c r="O42" s="1" t="s">
        <v>70</v>
      </c>
      <c r="P42" s="1">
        <v>8000</v>
      </c>
      <c r="Q42" s="1">
        <v>2023</v>
      </c>
      <c r="R42" s="1">
        <v>202403</v>
      </c>
      <c r="S42" s="1" t="s">
        <v>55</v>
      </c>
      <c r="T42" s="1" t="s">
        <v>35</v>
      </c>
    </row>
    <row r="43" spans="1:20" ht="15.75" customHeight="1" x14ac:dyDescent="0.15">
      <c r="A43" s="1" t="s">
        <v>232</v>
      </c>
      <c r="B43" s="1" t="s">
        <v>212</v>
      </c>
      <c r="C43" s="1" t="s">
        <v>213</v>
      </c>
      <c r="D43" s="1" t="s">
        <v>23</v>
      </c>
      <c r="E43" s="1" t="s">
        <v>73</v>
      </c>
      <c r="F43" s="1" t="s">
        <v>25</v>
      </c>
      <c r="G43" s="1">
        <v>27500</v>
      </c>
      <c r="H43" s="1" t="s">
        <v>41</v>
      </c>
      <c r="I43" s="1" t="s">
        <v>233</v>
      </c>
      <c r="J43" s="1" t="s">
        <v>234</v>
      </c>
      <c r="K43" s="1" t="s">
        <v>183</v>
      </c>
      <c r="L43" s="1" t="s">
        <v>85</v>
      </c>
      <c r="M43" s="1" t="s">
        <v>31</v>
      </c>
      <c r="N43" s="1" t="s">
        <v>60</v>
      </c>
      <c r="P43" s="1">
        <v>26000</v>
      </c>
      <c r="Q43" s="1">
        <v>2020</v>
      </c>
      <c r="R43" s="1">
        <v>202403</v>
      </c>
      <c r="S43" s="1" t="s">
        <v>55</v>
      </c>
      <c r="T43" s="1" t="s">
        <v>35</v>
      </c>
    </row>
    <row r="44" spans="1:20" ht="15.75" customHeight="1" x14ac:dyDescent="0.15">
      <c r="A44" s="1" t="s">
        <v>235</v>
      </c>
      <c r="B44" s="1" t="s">
        <v>222</v>
      </c>
      <c r="C44" s="1" t="s">
        <v>223</v>
      </c>
      <c r="D44" s="1" t="s">
        <v>90</v>
      </c>
      <c r="E44" s="1" t="s">
        <v>91</v>
      </c>
      <c r="F44" s="1" t="s">
        <v>25</v>
      </c>
      <c r="G44" s="1">
        <v>41200</v>
      </c>
      <c r="H44" s="1" t="s">
        <v>92</v>
      </c>
      <c r="I44" s="1" t="s">
        <v>236</v>
      </c>
      <c r="J44" s="1" t="s">
        <v>237</v>
      </c>
      <c r="K44" s="1" t="s">
        <v>84</v>
      </c>
      <c r="L44" s="1" t="s">
        <v>85</v>
      </c>
      <c r="M44" s="1" t="s">
        <v>31</v>
      </c>
      <c r="N44" s="1" t="s">
        <v>86</v>
      </c>
      <c r="O44" s="1" t="s">
        <v>46</v>
      </c>
      <c r="P44" s="1">
        <v>29000</v>
      </c>
      <c r="Q44" s="1">
        <v>2020</v>
      </c>
      <c r="R44" s="1">
        <v>202403</v>
      </c>
      <c r="S44" s="1" t="s">
        <v>55</v>
      </c>
      <c r="T44" s="1" t="s">
        <v>35</v>
      </c>
    </row>
    <row r="45" spans="1:20" ht="15.75" customHeight="1" x14ac:dyDescent="0.15">
      <c r="A45" s="1" t="s">
        <v>238</v>
      </c>
      <c r="B45" s="1" t="s">
        <v>217</v>
      </c>
      <c r="C45" s="1" t="s">
        <v>239</v>
      </c>
      <c r="D45" s="1" t="s">
        <v>23</v>
      </c>
      <c r="E45" s="1" t="s">
        <v>24</v>
      </c>
      <c r="F45" s="1" t="s">
        <v>25</v>
      </c>
      <c r="G45" s="1">
        <v>18900</v>
      </c>
      <c r="H45" s="1" t="s">
        <v>26</v>
      </c>
      <c r="I45" s="1" t="s">
        <v>240</v>
      </c>
      <c r="J45" s="1" t="s">
        <v>241</v>
      </c>
      <c r="K45" s="1" t="s">
        <v>44</v>
      </c>
      <c r="L45" s="1" t="s">
        <v>30</v>
      </c>
      <c r="M45" s="1" t="s">
        <v>31</v>
      </c>
      <c r="N45" s="1" t="s">
        <v>242</v>
      </c>
      <c r="O45" s="1" t="s">
        <v>70</v>
      </c>
      <c r="P45" s="1">
        <v>14000</v>
      </c>
      <c r="Q45" s="1">
        <v>2022</v>
      </c>
      <c r="R45" s="1">
        <v>202407</v>
      </c>
      <c r="S45" s="1" t="s">
        <v>78</v>
      </c>
      <c r="T45" s="1" t="s">
        <v>79</v>
      </c>
    </row>
    <row r="46" spans="1:20" ht="15.75" customHeight="1" x14ac:dyDescent="0.15">
      <c r="A46" s="1" t="s">
        <v>243</v>
      </c>
      <c r="B46" s="1" t="s">
        <v>244</v>
      </c>
      <c r="C46" s="1" t="s">
        <v>245</v>
      </c>
      <c r="D46" s="1" t="s">
        <v>23</v>
      </c>
      <c r="E46" s="1" t="s">
        <v>73</v>
      </c>
      <c r="F46" s="1" t="s">
        <v>111</v>
      </c>
      <c r="G46" s="1">
        <v>89900</v>
      </c>
      <c r="H46" s="1" t="s">
        <v>229</v>
      </c>
      <c r="I46" s="1" t="s">
        <v>246</v>
      </c>
      <c r="J46" s="1" t="s">
        <v>247</v>
      </c>
      <c r="K46" s="1" t="s">
        <v>248</v>
      </c>
      <c r="L46" s="1" t="s">
        <v>52</v>
      </c>
      <c r="M46" s="1" t="s">
        <v>31</v>
      </c>
      <c r="N46" s="1" t="s">
        <v>190</v>
      </c>
      <c r="O46" s="1" t="s">
        <v>101</v>
      </c>
      <c r="P46" s="1">
        <v>26000</v>
      </c>
      <c r="Q46" s="1">
        <v>2020</v>
      </c>
      <c r="R46" s="1">
        <v>202407</v>
      </c>
      <c r="S46" s="1" t="s">
        <v>78</v>
      </c>
      <c r="T46" s="1" t="s">
        <v>79</v>
      </c>
    </row>
    <row r="47" spans="1:20" ht="15.75" customHeight="1" x14ac:dyDescent="0.15">
      <c r="A47" s="1" t="s">
        <v>249</v>
      </c>
      <c r="B47" s="1" t="s">
        <v>212</v>
      </c>
      <c r="C47" s="1" t="s">
        <v>250</v>
      </c>
      <c r="D47" s="1" t="s">
        <v>90</v>
      </c>
      <c r="E47" s="1" t="s">
        <v>91</v>
      </c>
      <c r="F47" s="1" t="s">
        <v>25</v>
      </c>
      <c r="G47" s="1">
        <v>51200</v>
      </c>
      <c r="H47" s="1" t="s">
        <v>92</v>
      </c>
      <c r="I47" s="1" t="s">
        <v>251</v>
      </c>
      <c r="J47" s="1" t="s">
        <v>252</v>
      </c>
      <c r="K47" s="1" t="s">
        <v>183</v>
      </c>
      <c r="L47" s="1" t="s">
        <v>85</v>
      </c>
      <c r="M47" s="1" t="s">
        <v>31</v>
      </c>
      <c r="N47" s="1" t="s">
        <v>253</v>
      </c>
      <c r="O47" s="1" t="s">
        <v>61</v>
      </c>
      <c r="P47" s="1">
        <v>30000</v>
      </c>
      <c r="Q47" s="1">
        <v>2020</v>
      </c>
      <c r="R47" s="1">
        <v>202407</v>
      </c>
      <c r="S47" s="1" t="s">
        <v>78</v>
      </c>
      <c r="T47" s="1" t="s">
        <v>79</v>
      </c>
    </row>
    <row r="48" spans="1:20" ht="15.75" customHeight="1" x14ac:dyDescent="0.15">
      <c r="A48" s="1" t="s">
        <v>254</v>
      </c>
      <c r="B48" s="1" t="s">
        <v>255</v>
      </c>
      <c r="C48" s="1" t="s">
        <v>256</v>
      </c>
      <c r="D48" s="1" t="s">
        <v>90</v>
      </c>
      <c r="E48" s="1" t="s">
        <v>91</v>
      </c>
      <c r="F48" s="1" t="s">
        <v>25</v>
      </c>
      <c r="G48" s="1">
        <v>38900</v>
      </c>
      <c r="H48" s="1" t="s">
        <v>41</v>
      </c>
      <c r="I48" s="1" t="s">
        <v>257</v>
      </c>
      <c r="J48" s="1" t="s">
        <v>258</v>
      </c>
      <c r="K48" s="1" t="s">
        <v>67</v>
      </c>
      <c r="L48" s="1" t="s">
        <v>68</v>
      </c>
      <c r="M48" s="1" t="s">
        <v>31</v>
      </c>
      <c r="N48" s="1" t="s">
        <v>259</v>
      </c>
      <c r="O48" s="1" t="s">
        <v>143</v>
      </c>
      <c r="P48" s="1">
        <v>9000</v>
      </c>
      <c r="Q48" s="1">
        <v>2023</v>
      </c>
      <c r="R48" s="1">
        <v>202407</v>
      </c>
      <c r="S48" s="1" t="s">
        <v>78</v>
      </c>
      <c r="T48" s="1" t="s">
        <v>79</v>
      </c>
    </row>
    <row r="49" spans="1:20" ht="15.75" customHeight="1" x14ac:dyDescent="0.15">
      <c r="A49" s="1" t="s">
        <v>260</v>
      </c>
      <c r="B49" s="1" t="s">
        <v>244</v>
      </c>
      <c r="C49" s="1" t="s">
        <v>261</v>
      </c>
      <c r="D49" s="1" t="s">
        <v>262</v>
      </c>
      <c r="E49" s="1" t="s">
        <v>263</v>
      </c>
      <c r="F49" s="1" t="s">
        <v>111</v>
      </c>
      <c r="G49" s="1">
        <v>99900</v>
      </c>
      <c r="H49" s="1" t="s">
        <v>264</v>
      </c>
      <c r="I49" s="1" t="s">
        <v>265</v>
      </c>
      <c r="J49" s="1" t="s">
        <v>266</v>
      </c>
      <c r="K49" s="1" t="s">
        <v>248</v>
      </c>
      <c r="L49" s="1" t="s">
        <v>52</v>
      </c>
      <c r="M49" s="1" t="s">
        <v>31</v>
      </c>
      <c r="N49" s="1" t="s">
        <v>190</v>
      </c>
      <c r="O49" s="1" t="s">
        <v>61</v>
      </c>
      <c r="P49" s="1">
        <v>18000</v>
      </c>
      <c r="Q49" s="1">
        <v>2022</v>
      </c>
      <c r="R49" s="1">
        <v>202407</v>
      </c>
      <c r="S49" s="1" t="s">
        <v>78</v>
      </c>
      <c r="T49" s="1" t="s">
        <v>79</v>
      </c>
    </row>
    <row r="50" spans="1:20" ht="15.75" customHeight="1" x14ac:dyDescent="0.15">
      <c r="A50" s="1" t="s">
        <v>267</v>
      </c>
      <c r="B50" s="1" t="s">
        <v>222</v>
      </c>
      <c r="C50" s="1" t="s">
        <v>268</v>
      </c>
      <c r="D50" s="1" t="s">
        <v>90</v>
      </c>
      <c r="E50" s="1" t="s">
        <v>91</v>
      </c>
      <c r="F50" s="1" t="s">
        <v>25</v>
      </c>
      <c r="G50" s="1">
        <v>22900</v>
      </c>
      <c r="H50" s="1" t="s">
        <v>26</v>
      </c>
      <c r="I50" s="1" t="s">
        <v>269</v>
      </c>
      <c r="J50" s="1" t="s">
        <v>270</v>
      </c>
      <c r="K50" s="1" t="s">
        <v>142</v>
      </c>
      <c r="L50" s="1" t="s">
        <v>85</v>
      </c>
      <c r="M50" s="1" t="s">
        <v>31</v>
      </c>
      <c r="N50" s="1" t="s">
        <v>271</v>
      </c>
      <c r="O50" s="1" t="s">
        <v>54</v>
      </c>
      <c r="P50" s="1">
        <v>45000</v>
      </c>
      <c r="Q50" s="1">
        <v>2016</v>
      </c>
      <c r="R50" s="1">
        <v>202408</v>
      </c>
      <c r="S50" s="1" t="s">
        <v>108</v>
      </c>
      <c r="T50" s="1" t="s">
        <v>79</v>
      </c>
    </row>
    <row r="51" spans="1:20" ht="15.75" customHeight="1" x14ac:dyDescent="0.15">
      <c r="A51" s="1" t="s">
        <v>272</v>
      </c>
      <c r="B51" s="1" t="s">
        <v>273</v>
      </c>
      <c r="C51" s="1" t="s">
        <v>274</v>
      </c>
      <c r="D51" s="1" t="s">
        <v>90</v>
      </c>
      <c r="E51" s="1" t="s">
        <v>91</v>
      </c>
      <c r="F51" s="1" t="s">
        <v>25</v>
      </c>
      <c r="G51" s="1">
        <v>35200</v>
      </c>
      <c r="H51" s="1" t="s">
        <v>41</v>
      </c>
      <c r="I51" s="1" t="s">
        <v>275</v>
      </c>
      <c r="J51" s="1" t="s">
        <v>276</v>
      </c>
      <c r="K51" s="1" t="s">
        <v>99</v>
      </c>
      <c r="L51" s="1" t="s">
        <v>68</v>
      </c>
      <c r="M51" s="1" t="s">
        <v>31</v>
      </c>
      <c r="N51" s="1" t="s">
        <v>60</v>
      </c>
      <c r="O51" s="1" t="s">
        <v>46</v>
      </c>
      <c r="P51" s="1">
        <v>25000</v>
      </c>
      <c r="Q51" s="1">
        <v>2020</v>
      </c>
      <c r="R51" s="1">
        <v>202409</v>
      </c>
      <c r="S51" s="1" t="s">
        <v>134</v>
      </c>
      <c r="T51" s="1" t="s">
        <v>79</v>
      </c>
    </row>
    <row r="52" spans="1:20" ht="15.75" customHeight="1" x14ac:dyDescent="0.15">
      <c r="A52" s="1" t="s">
        <v>277</v>
      </c>
      <c r="B52" s="1" t="s">
        <v>255</v>
      </c>
      <c r="C52" s="1" t="s">
        <v>278</v>
      </c>
      <c r="D52" s="1" t="s">
        <v>104</v>
      </c>
      <c r="E52" s="1" t="s">
        <v>91</v>
      </c>
      <c r="F52" s="1" t="s">
        <v>25</v>
      </c>
      <c r="G52" s="1">
        <v>22900</v>
      </c>
      <c r="H52" s="1" t="s">
        <v>26</v>
      </c>
      <c r="I52" s="1" t="s">
        <v>279</v>
      </c>
      <c r="J52" s="1" t="s">
        <v>280</v>
      </c>
      <c r="K52" s="1" t="s">
        <v>67</v>
      </c>
      <c r="L52" s="1" t="s">
        <v>68</v>
      </c>
      <c r="M52" s="1" t="s">
        <v>31</v>
      </c>
      <c r="N52" s="1" t="s">
        <v>281</v>
      </c>
      <c r="O52" s="1" t="s">
        <v>33</v>
      </c>
      <c r="P52" s="1">
        <v>19000</v>
      </c>
      <c r="Q52" s="1">
        <v>2021</v>
      </c>
      <c r="R52" s="1">
        <v>202409</v>
      </c>
      <c r="S52" s="1" t="s">
        <v>134</v>
      </c>
      <c r="T52" s="1" t="s">
        <v>79</v>
      </c>
    </row>
    <row r="53" spans="1:20" ht="15.75" customHeight="1" x14ac:dyDescent="0.15">
      <c r="A53" s="1" t="s">
        <v>282</v>
      </c>
      <c r="B53" s="1" t="s">
        <v>222</v>
      </c>
      <c r="C53" s="1" t="s">
        <v>283</v>
      </c>
      <c r="D53" s="1" t="s">
        <v>90</v>
      </c>
      <c r="E53" s="1" t="s">
        <v>91</v>
      </c>
      <c r="F53" s="1" t="s">
        <v>25</v>
      </c>
      <c r="G53" s="1">
        <v>27900</v>
      </c>
      <c r="H53" s="1" t="s">
        <v>41</v>
      </c>
      <c r="I53" s="1" t="s">
        <v>284</v>
      </c>
      <c r="J53" s="1" t="s">
        <v>285</v>
      </c>
      <c r="K53" s="1" t="s">
        <v>142</v>
      </c>
      <c r="L53" s="1" t="s">
        <v>85</v>
      </c>
      <c r="M53" s="1" t="s">
        <v>31</v>
      </c>
      <c r="N53" s="1" t="s">
        <v>286</v>
      </c>
      <c r="O53" s="1" t="s">
        <v>54</v>
      </c>
      <c r="P53" s="1">
        <v>13000</v>
      </c>
      <c r="Q53" s="1">
        <v>2023</v>
      </c>
      <c r="R53" s="1">
        <v>202410</v>
      </c>
      <c r="S53" s="1" t="s">
        <v>157</v>
      </c>
      <c r="T53" s="1" t="s">
        <v>158</v>
      </c>
    </row>
    <row r="54" spans="1:20" ht="15.75" customHeight="1" x14ac:dyDescent="0.15">
      <c r="A54" s="1" t="s">
        <v>287</v>
      </c>
      <c r="B54" s="1" t="s">
        <v>273</v>
      </c>
      <c r="C54" s="1" t="s">
        <v>288</v>
      </c>
      <c r="D54" s="1" t="s">
        <v>23</v>
      </c>
      <c r="E54" s="1" t="s">
        <v>73</v>
      </c>
      <c r="F54" s="1" t="s">
        <v>25</v>
      </c>
      <c r="G54" s="1">
        <v>26900</v>
      </c>
      <c r="H54" s="1" t="s">
        <v>41</v>
      </c>
      <c r="I54" s="1" t="s">
        <v>289</v>
      </c>
      <c r="J54" s="1" t="s">
        <v>290</v>
      </c>
      <c r="K54" s="1" t="s">
        <v>99</v>
      </c>
      <c r="L54" s="1" t="s">
        <v>68</v>
      </c>
      <c r="M54" s="1" t="s">
        <v>166</v>
      </c>
      <c r="O54" s="1" t="s">
        <v>70</v>
      </c>
      <c r="P54" s="1">
        <v>8000</v>
      </c>
      <c r="Q54" s="1">
        <v>2023</v>
      </c>
      <c r="R54" s="1">
        <v>202410</v>
      </c>
      <c r="S54" s="1" t="s">
        <v>157</v>
      </c>
      <c r="T54" s="1" t="s">
        <v>158</v>
      </c>
    </row>
    <row r="55" spans="1:20" ht="15.75" customHeight="1" x14ac:dyDescent="0.15">
      <c r="A55" s="1" t="s">
        <v>291</v>
      </c>
      <c r="B55" s="1" t="s">
        <v>217</v>
      </c>
      <c r="C55" s="1" t="s">
        <v>292</v>
      </c>
      <c r="D55" s="1" t="s">
        <v>23</v>
      </c>
      <c r="E55" s="1" t="s">
        <v>73</v>
      </c>
      <c r="F55" s="1" t="s">
        <v>25</v>
      </c>
      <c r="G55" s="1">
        <v>34500</v>
      </c>
      <c r="H55" s="1" t="s">
        <v>41</v>
      </c>
      <c r="I55" s="1" t="s">
        <v>293</v>
      </c>
      <c r="J55" s="1" t="s">
        <v>294</v>
      </c>
      <c r="K55" s="1" t="s">
        <v>138</v>
      </c>
      <c r="L55" s="1" t="s">
        <v>30</v>
      </c>
      <c r="M55" s="1" t="s">
        <v>31</v>
      </c>
      <c r="N55" s="1" t="s">
        <v>156</v>
      </c>
      <c r="O55" s="1" t="s">
        <v>70</v>
      </c>
      <c r="P55" s="1">
        <v>5000</v>
      </c>
      <c r="Q55" s="1">
        <v>2024</v>
      </c>
      <c r="R55" s="1">
        <v>202411</v>
      </c>
      <c r="S55" s="1" t="s">
        <v>179</v>
      </c>
      <c r="T55" s="1" t="s">
        <v>158</v>
      </c>
    </row>
    <row r="56" spans="1:20" ht="13" x14ac:dyDescent="0.15">
      <c r="A56" s="1" t="s">
        <v>295</v>
      </c>
      <c r="B56" s="1" t="s">
        <v>255</v>
      </c>
      <c r="C56" s="1" t="s">
        <v>296</v>
      </c>
      <c r="D56" s="1" t="s">
        <v>90</v>
      </c>
      <c r="E56" s="1" t="s">
        <v>91</v>
      </c>
      <c r="F56" s="1" t="s">
        <v>25</v>
      </c>
      <c r="G56" s="1">
        <v>29800</v>
      </c>
      <c r="H56" s="1" t="s">
        <v>41</v>
      </c>
      <c r="I56" s="1" t="s">
        <v>297</v>
      </c>
      <c r="J56" s="1" t="s">
        <v>298</v>
      </c>
      <c r="K56" s="1" t="s">
        <v>67</v>
      </c>
      <c r="L56" s="1" t="s">
        <v>68</v>
      </c>
      <c r="M56" s="1" t="s">
        <v>31</v>
      </c>
      <c r="N56" s="1" t="s">
        <v>53</v>
      </c>
      <c r="O56" s="1" t="s">
        <v>143</v>
      </c>
      <c r="P56" s="1">
        <v>9000</v>
      </c>
      <c r="Q56" s="1">
        <v>2023</v>
      </c>
      <c r="R56" s="1">
        <v>202411</v>
      </c>
      <c r="S56" s="1" t="s">
        <v>179</v>
      </c>
      <c r="T56" s="1" t="s">
        <v>158</v>
      </c>
    </row>
    <row r="57" spans="1:20" ht="13" x14ac:dyDescent="0.15">
      <c r="A57" s="1" t="s">
        <v>299</v>
      </c>
      <c r="B57" s="1" t="s">
        <v>244</v>
      </c>
      <c r="C57" s="1" t="s">
        <v>300</v>
      </c>
      <c r="D57" s="1" t="s">
        <v>23</v>
      </c>
      <c r="E57" s="1" t="s">
        <v>73</v>
      </c>
      <c r="F57" s="1" t="s">
        <v>111</v>
      </c>
      <c r="G57" s="1">
        <v>69900</v>
      </c>
      <c r="H57" s="1" t="s">
        <v>229</v>
      </c>
      <c r="I57" s="1" t="s">
        <v>301</v>
      </c>
      <c r="J57" s="1" t="s">
        <v>302</v>
      </c>
      <c r="K57" s="1" t="s">
        <v>248</v>
      </c>
      <c r="L57" s="1" t="s">
        <v>52</v>
      </c>
      <c r="M57" s="1" t="s">
        <v>31</v>
      </c>
      <c r="N57" s="1" t="s">
        <v>190</v>
      </c>
      <c r="O57" s="1" t="s">
        <v>33</v>
      </c>
      <c r="P57" s="1">
        <v>6000</v>
      </c>
      <c r="Q57" s="1">
        <v>2023</v>
      </c>
      <c r="R57" s="1">
        <v>202412</v>
      </c>
      <c r="S57" s="1" t="s">
        <v>197</v>
      </c>
      <c r="T57" s="1" t="s">
        <v>158</v>
      </c>
    </row>
    <row r="58" spans="1:20" ht="13" x14ac:dyDescent="0.15">
      <c r="A58" s="1" t="s">
        <v>303</v>
      </c>
      <c r="B58" s="1" t="s">
        <v>212</v>
      </c>
      <c r="C58" s="1" t="s">
        <v>304</v>
      </c>
      <c r="D58" s="1" t="s">
        <v>262</v>
      </c>
      <c r="E58" s="1" t="s">
        <v>305</v>
      </c>
      <c r="F58" s="1" t="s">
        <v>25</v>
      </c>
      <c r="G58" s="1">
        <v>115900</v>
      </c>
      <c r="H58" s="1" t="s">
        <v>264</v>
      </c>
      <c r="I58" s="1" t="s">
        <v>306</v>
      </c>
      <c r="J58" s="1" t="s">
        <v>307</v>
      </c>
      <c r="K58" s="1" t="s">
        <v>183</v>
      </c>
      <c r="L58" s="1" t="s">
        <v>85</v>
      </c>
      <c r="M58" s="1" t="s">
        <v>31</v>
      </c>
      <c r="N58" s="1" t="s">
        <v>128</v>
      </c>
      <c r="O58" s="1" t="s">
        <v>46</v>
      </c>
      <c r="P58" s="1">
        <v>2500</v>
      </c>
      <c r="Q58" s="1">
        <v>2024</v>
      </c>
      <c r="R58" s="1">
        <v>202412</v>
      </c>
      <c r="S58" s="1" t="s">
        <v>197</v>
      </c>
      <c r="T58" s="1" t="s">
        <v>158</v>
      </c>
    </row>
    <row r="59" spans="1:20" ht="13" x14ac:dyDescent="0.15">
      <c r="A59" s="1" t="s">
        <v>308</v>
      </c>
      <c r="B59" s="1" t="s">
        <v>222</v>
      </c>
      <c r="C59" s="1" t="s">
        <v>223</v>
      </c>
      <c r="D59" s="1" t="s">
        <v>90</v>
      </c>
      <c r="E59" s="1" t="s">
        <v>91</v>
      </c>
      <c r="F59" s="1" t="s">
        <v>25</v>
      </c>
      <c r="G59" s="1">
        <v>41200</v>
      </c>
      <c r="H59" s="1" t="s">
        <v>92</v>
      </c>
      <c r="I59" s="1" t="s">
        <v>236</v>
      </c>
      <c r="J59" s="1" t="s">
        <v>237</v>
      </c>
      <c r="K59" s="1" t="s">
        <v>84</v>
      </c>
      <c r="L59" s="1" t="s">
        <v>85</v>
      </c>
      <c r="M59" s="1" t="s">
        <v>31</v>
      </c>
      <c r="N59" s="1" t="s">
        <v>86</v>
      </c>
      <c r="O59" s="1" t="s">
        <v>46</v>
      </c>
      <c r="P59" s="1">
        <v>29000</v>
      </c>
      <c r="Q59" s="1">
        <v>2020</v>
      </c>
      <c r="R59" s="1">
        <v>202403</v>
      </c>
      <c r="S59" s="1" t="s">
        <v>55</v>
      </c>
      <c r="T59" s="1" t="s">
        <v>35</v>
      </c>
    </row>
    <row r="60" spans="1:20" ht="13" x14ac:dyDescent="0.15">
      <c r="A60" s="1" t="s">
        <v>309</v>
      </c>
      <c r="B60" s="1" t="s">
        <v>255</v>
      </c>
      <c r="C60" s="1" t="s">
        <v>278</v>
      </c>
      <c r="D60" s="1" t="s">
        <v>104</v>
      </c>
      <c r="E60" s="1" t="s">
        <v>91</v>
      </c>
      <c r="F60" s="1" t="s">
        <v>25</v>
      </c>
      <c r="G60" s="1">
        <v>22900</v>
      </c>
      <c r="H60" s="1" t="s">
        <v>26</v>
      </c>
      <c r="I60" s="1" t="s">
        <v>279</v>
      </c>
      <c r="J60" s="1" t="s">
        <v>280</v>
      </c>
      <c r="K60" s="1" t="s">
        <v>67</v>
      </c>
      <c r="L60" s="1" t="s">
        <v>68</v>
      </c>
      <c r="M60" s="1" t="s">
        <v>31</v>
      </c>
      <c r="N60" s="1" t="s">
        <v>281</v>
      </c>
      <c r="O60" s="1" t="s">
        <v>33</v>
      </c>
      <c r="P60" s="1">
        <v>19000</v>
      </c>
      <c r="Q60" s="1">
        <v>2021</v>
      </c>
      <c r="R60" s="1">
        <v>202409</v>
      </c>
      <c r="S60" s="1" t="s">
        <v>134</v>
      </c>
      <c r="T60" s="1" t="s">
        <v>79</v>
      </c>
    </row>
    <row r="61" spans="1:20" ht="13" x14ac:dyDescent="0.15">
      <c r="A61" s="1" t="s">
        <v>310</v>
      </c>
      <c r="B61" s="1" t="s">
        <v>212</v>
      </c>
      <c r="C61" s="1" t="s">
        <v>250</v>
      </c>
      <c r="D61" s="1" t="s">
        <v>90</v>
      </c>
      <c r="E61" s="1" t="s">
        <v>91</v>
      </c>
      <c r="F61" s="1" t="s">
        <v>25</v>
      </c>
      <c r="G61" s="1">
        <v>51200</v>
      </c>
      <c r="H61" s="1" t="s">
        <v>92</v>
      </c>
      <c r="I61" s="1" t="s">
        <v>251</v>
      </c>
      <c r="J61" s="1" t="s">
        <v>252</v>
      </c>
      <c r="K61" s="1" t="s">
        <v>183</v>
      </c>
      <c r="L61" s="1" t="s">
        <v>85</v>
      </c>
      <c r="M61" s="1" t="s">
        <v>31</v>
      </c>
      <c r="N61" s="1" t="s">
        <v>253</v>
      </c>
      <c r="O61" s="1" t="s">
        <v>61</v>
      </c>
      <c r="P61" s="1">
        <v>30000</v>
      </c>
      <c r="Q61" s="1">
        <v>2020</v>
      </c>
      <c r="R61" s="1">
        <v>202407</v>
      </c>
      <c r="S61" s="1" t="s">
        <v>78</v>
      </c>
      <c r="T61" s="1" t="s">
        <v>79</v>
      </c>
    </row>
    <row r="62" spans="1:20" ht="13" x14ac:dyDescent="0.15">
      <c r="A62" s="1" t="s">
        <v>311</v>
      </c>
      <c r="B62" s="1" t="s">
        <v>222</v>
      </c>
      <c r="C62" s="1" t="s">
        <v>283</v>
      </c>
      <c r="D62" s="1" t="s">
        <v>90</v>
      </c>
      <c r="E62" s="1" t="s">
        <v>91</v>
      </c>
      <c r="F62" s="1" t="s">
        <v>25</v>
      </c>
      <c r="G62" s="1">
        <v>27900</v>
      </c>
      <c r="H62" s="1" t="s">
        <v>41</v>
      </c>
      <c r="I62" s="1" t="s">
        <v>284</v>
      </c>
      <c r="J62" s="1" t="s">
        <v>285</v>
      </c>
      <c r="K62" s="1" t="s">
        <v>142</v>
      </c>
      <c r="L62" s="1" t="s">
        <v>85</v>
      </c>
      <c r="M62" s="1" t="s">
        <v>31</v>
      </c>
      <c r="N62" s="1" t="s">
        <v>286</v>
      </c>
      <c r="O62" s="1" t="s">
        <v>54</v>
      </c>
      <c r="P62" s="1">
        <v>13000</v>
      </c>
      <c r="Q62" s="1">
        <v>2023</v>
      </c>
      <c r="R62" s="1">
        <v>202410</v>
      </c>
      <c r="S62" s="1" t="s">
        <v>157</v>
      </c>
      <c r="T62" s="1" t="s">
        <v>158</v>
      </c>
    </row>
    <row r="63" spans="1:20" ht="13" x14ac:dyDescent="0.15">
      <c r="A63" s="1" t="s">
        <v>312</v>
      </c>
      <c r="B63" s="1" t="s">
        <v>222</v>
      </c>
      <c r="C63" s="1" t="s">
        <v>223</v>
      </c>
      <c r="D63" s="1" t="s">
        <v>90</v>
      </c>
      <c r="E63" s="1" t="s">
        <v>91</v>
      </c>
      <c r="F63" s="1" t="s">
        <v>25</v>
      </c>
      <c r="G63" s="1">
        <v>41200</v>
      </c>
      <c r="H63" s="1" t="s">
        <v>92</v>
      </c>
      <c r="I63" s="1" t="s">
        <v>236</v>
      </c>
      <c r="J63" s="1" t="s">
        <v>237</v>
      </c>
      <c r="K63" s="1" t="s">
        <v>84</v>
      </c>
      <c r="L63" s="1" t="s">
        <v>85</v>
      </c>
      <c r="M63" s="1" t="s">
        <v>31</v>
      </c>
      <c r="N63" s="1" t="s">
        <v>86</v>
      </c>
      <c r="O63" s="1" t="s">
        <v>46</v>
      </c>
      <c r="P63" s="1">
        <v>29000</v>
      </c>
      <c r="Q63" s="1">
        <v>2020</v>
      </c>
      <c r="R63" s="1">
        <v>202403</v>
      </c>
      <c r="S63" s="1" t="s">
        <v>55</v>
      </c>
      <c r="T63" s="1" t="s">
        <v>35</v>
      </c>
    </row>
    <row r="64" spans="1:20" ht="13" x14ac:dyDescent="0.15">
      <c r="A64" s="1" t="s">
        <v>313</v>
      </c>
      <c r="B64" s="1" t="s">
        <v>212</v>
      </c>
      <c r="C64" s="1" t="s">
        <v>304</v>
      </c>
      <c r="D64" s="1" t="s">
        <v>262</v>
      </c>
      <c r="E64" s="1" t="s">
        <v>305</v>
      </c>
      <c r="F64" s="1" t="s">
        <v>25</v>
      </c>
      <c r="G64" s="1">
        <v>115900</v>
      </c>
      <c r="H64" s="1" t="s">
        <v>264</v>
      </c>
      <c r="I64" s="1" t="s">
        <v>306</v>
      </c>
      <c r="J64" s="1" t="s">
        <v>307</v>
      </c>
      <c r="K64" s="1" t="s">
        <v>183</v>
      </c>
      <c r="L64" s="1" t="s">
        <v>85</v>
      </c>
      <c r="M64" s="1" t="s">
        <v>31</v>
      </c>
      <c r="N64" s="1" t="s">
        <v>128</v>
      </c>
      <c r="O64" s="1" t="s">
        <v>46</v>
      </c>
      <c r="P64" s="1">
        <v>2500</v>
      </c>
      <c r="Q64" s="1">
        <v>2024</v>
      </c>
      <c r="R64" s="1">
        <v>202412</v>
      </c>
      <c r="S64" s="1" t="s">
        <v>197</v>
      </c>
      <c r="T64" s="1" t="s">
        <v>158</v>
      </c>
    </row>
    <row r="65" spans="1:20" ht="13" x14ac:dyDescent="0.15">
      <c r="A65" s="1" t="s">
        <v>314</v>
      </c>
      <c r="B65" s="1" t="s">
        <v>273</v>
      </c>
      <c r="C65" s="1" t="s">
        <v>274</v>
      </c>
      <c r="D65" s="1" t="s">
        <v>90</v>
      </c>
      <c r="E65" s="1" t="s">
        <v>91</v>
      </c>
      <c r="F65" s="1" t="s">
        <v>25</v>
      </c>
      <c r="G65" s="1">
        <v>35200</v>
      </c>
      <c r="H65" s="1" t="s">
        <v>41</v>
      </c>
      <c r="I65" s="1" t="s">
        <v>275</v>
      </c>
      <c r="J65" s="1" t="s">
        <v>276</v>
      </c>
      <c r="K65" s="1" t="s">
        <v>99</v>
      </c>
      <c r="L65" s="1" t="s">
        <v>68</v>
      </c>
      <c r="M65" s="1" t="s">
        <v>31</v>
      </c>
      <c r="N65" s="1" t="s">
        <v>60</v>
      </c>
      <c r="O65" s="1" t="s">
        <v>46</v>
      </c>
      <c r="P65" s="1">
        <v>25000</v>
      </c>
      <c r="Q65" s="1">
        <v>2020</v>
      </c>
      <c r="R65" s="1">
        <v>202409</v>
      </c>
      <c r="S65" s="1" t="s">
        <v>134</v>
      </c>
      <c r="T65" s="1" t="s">
        <v>79</v>
      </c>
    </row>
    <row r="66" spans="1:20" ht="13" x14ac:dyDescent="0.15">
      <c r="A66" s="1" t="s">
        <v>315</v>
      </c>
      <c r="B66" s="1" t="s">
        <v>217</v>
      </c>
      <c r="C66" s="1" t="s">
        <v>292</v>
      </c>
      <c r="D66" s="1" t="s">
        <v>23</v>
      </c>
      <c r="E66" s="1" t="s">
        <v>73</v>
      </c>
      <c r="F66" s="1" t="s">
        <v>25</v>
      </c>
      <c r="G66" s="1">
        <v>34500</v>
      </c>
      <c r="H66" s="1" t="s">
        <v>41</v>
      </c>
      <c r="I66" s="1" t="s">
        <v>293</v>
      </c>
      <c r="J66" s="1" t="s">
        <v>294</v>
      </c>
      <c r="K66" s="1" t="s">
        <v>138</v>
      </c>
      <c r="L66" s="1" t="s">
        <v>30</v>
      </c>
      <c r="M66" s="1" t="s">
        <v>31</v>
      </c>
      <c r="N66" s="1" t="s">
        <v>156</v>
      </c>
      <c r="O66" s="1" t="s">
        <v>70</v>
      </c>
      <c r="P66" s="1">
        <v>5000</v>
      </c>
      <c r="Q66" s="1">
        <v>2024</v>
      </c>
      <c r="R66" s="1">
        <v>202411</v>
      </c>
      <c r="S66" s="1" t="s">
        <v>179</v>
      </c>
      <c r="T66" s="1" t="s">
        <v>158</v>
      </c>
    </row>
    <row r="67" spans="1:20" ht="13" x14ac:dyDescent="0.15">
      <c r="A67" s="1" t="s">
        <v>316</v>
      </c>
      <c r="B67" s="1" t="s">
        <v>255</v>
      </c>
      <c r="C67" s="1" t="s">
        <v>296</v>
      </c>
      <c r="D67" s="1" t="s">
        <v>90</v>
      </c>
      <c r="E67" s="1" t="s">
        <v>91</v>
      </c>
      <c r="F67" s="1" t="s">
        <v>25</v>
      </c>
      <c r="G67" s="1">
        <v>29800</v>
      </c>
      <c r="H67" s="1" t="s">
        <v>41</v>
      </c>
      <c r="I67" s="1" t="s">
        <v>297</v>
      </c>
      <c r="J67" s="1" t="s">
        <v>298</v>
      </c>
      <c r="K67" s="1" t="s">
        <v>67</v>
      </c>
      <c r="L67" s="1" t="s">
        <v>68</v>
      </c>
      <c r="M67" s="1" t="s">
        <v>31</v>
      </c>
      <c r="N67" s="1" t="s">
        <v>53</v>
      </c>
      <c r="O67" s="1" t="s">
        <v>143</v>
      </c>
      <c r="P67" s="1">
        <v>9000</v>
      </c>
      <c r="Q67" s="1">
        <v>2023</v>
      </c>
      <c r="R67" s="1">
        <v>202411</v>
      </c>
      <c r="S67" s="1" t="s">
        <v>179</v>
      </c>
      <c r="T67" s="1" t="s">
        <v>158</v>
      </c>
    </row>
    <row r="68" spans="1:20" ht="13" x14ac:dyDescent="0.15">
      <c r="A68" s="1" t="s">
        <v>317</v>
      </c>
      <c r="B68" s="1" t="s">
        <v>222</v>
      </c>
      <c r="C68" s="1" t="s">
        <v>283</v>
      </c>
      <c r="D68" s="1" t="s">
        <v>104</v>
      </c>
      <c r="E68" s="1" t="s">
        <v>91</v>
      </c>
      <c r="F68" s="1" t="s">
        <v>25</v>
      </c>
      <c r="G68" s="1">
        <v>27900</v>
      </c>
      <c r="H68" s="1" t="s">
        <v>41</v>
      </c>
      <c r="I68" s="1" t="s">
        <v>284</v>
      </c>
      <c r="J68" s="1" t="s">
        <v>285</v>
      </c>
      <c r="K68" s="1" t="s">
        <v>142</v>
      </c>
      <c r="L68" s="1" t="s">
        <v>85</v>
      </c>
      <c r="M68" s="1" t="s">
        <v>31</v>
      </c>
      <c r="N68" s="1" t="s">
        <v>286</v>
      </c>
      <c r="O68" s="1" t="s">
        <v>54</v>
      </c>
      <c r="P68" s="1">
        <v>13000</v>
      </c>
      <c r="Q68" s="1">
        <v>2023</v>
      </c>
      <c r="R68" s="1">
        <v>202410</v>
      </c>
      <c r="S68" s="1" t="s">
        <v>157</v>
      </c>
      <c r="T68" s="1" t="s">
        <v>158</v>
      </c>
    </row>
    <row r="69" spans="1:20" ht="13" x14ac:dyDescent="0.15">
      <c r="A69" s="1" t="s">
        <v>318</v>
      </c>
      <c r="B69" s="1" t="s">
        <v>222</v>
      </c>
      <c r="C69" s="1" t="s">
        <v>223</v>
      </c>
      <c r="D69" s="1" t="s">
        <v>90</v>
      </c>
      <c r="E69" s="1" t="s">
        <v>91</v>
      </c>
      <c r="F69" s="1" t="s">
        <v>25</v>
      </c>
      <c r="G69" s="1">
        <v>38900</v>
      </c>
      <c r="H69" s="1" t="s">
        <v>41</v>
      </c>
      <c r="I69" s="1" t="s">
        <v>224</v>
      </c>
      <c r="J69" s="1" t="s">
        <v>225</v>
      </c>
      <c r="K69" s="1" t="s">
        <v>142</v>
      </c>
      <c r="L69" s="1" t="s">
        <v>85</v>
      </c>
      <c r="M69" s="1" t="s">
        <v>31</v>
      </c>
      <c r="N69" s="1" t="s">
        <v>86</v>
      </c>
      <c r="O69" s="1" t="s">
        <v>101</v>
      </c>
      <c r="P69" s="1">
        <v>35000</v>
      </c>
      <c r="Q69" s="1">
        <v>2020</v>
      </c>
      <c r="R69" s="1">
        <v>202402</v>
      </c>
      <c r="S69" s="1" t="s">
        <v>47</v>
      </c>
      <c r="T69" s="1" t="s">
        <v>35</v>
      </c>
    </row>
    <row r="70" spans="1:20" ht="13" x14ac:dyDescent="0.15">
      <c r="A70" s="1" t="s">
        <v>319</v>
      </c>
      <c r="B70" s="1" t="s">
        <v>255</v>
      </c>
      <c r="C70" s="1" t="s">
        <v>296</v>
      </c>
      <c r="D70" s="1" t="s">
        <v>90</v>
      </c>
      <c r="E70" s="1" t="s">
        <v>91</v>
      </c>
      <c r="F70" s="1" t="s">
        <v>25</v>
      </c>
      <c r="G70" s="1">
        <v>29800</v>
      </c>
      <c r="H70" s="1" t="s">
        <v>41</v>
      </c>
      <c r="I70" s="1" t="s">
        <v>297</v>
      </c>
      <c r="J70" s="1" t="s">
        <v>298</v>
      </c>
      <c r="K70" s="1" t="s">
        <v>67</v>
      </c>
      <c r="L70" s="1" t="s">
        <v>68</v>
      </c>
      <c r="M70" s="1" t="s">
        <v>31</v>
      </c>
      <c r="N70" s="1" t="s">
        <v>53</v>
      </c>
      <c r="O70" s="1" t="s">
        <v>143</v>
      </c>
      <c r="P70" s="1">
        <v>9000</v>
      </c>
      <c r="Q70" s="1">
        <v>2023</v>
      </c>
      <c r="R70" s="1">
        <v>202411</v>
      </c>
      <c r="S70" s="1" t="s">
        <v>179</v>
      </c>
      <c r="T70" s="1" t="s">
        <v>158</v>
      </c>
    </row>
    <row r="71" spans="1:20" ht="13" x14ac:dyDescent="0.15">
      <c r="A71" s="1" t="s">
        <v>320</v>
      </c>
      <c r="B71" s="1" t="s">
        <v>217</v>
      </c>
      <c r="C71" s="1" t="s">
        <v>218</v>
      </c>
      <c r="D71" s="1" t="s">
        <v>23</v>
      </c>
      <c r="E71" s="1" t="s">
        <v>24</v>
      </c>
      <c r="F71" s="1" t="s">
        <v>25</v>
      </c>
      <c r="G71" s="1">
        <v>22900</v>
      </c>
      <c r="H71" s="1" t="s">
        <v>26</v>
      </c>
      <c r="I71" s="1" t="s">
        <v>219</v>
      </c>
      <c r="J71" s="1" t="s">
        <v>220</v>
      </c>
      <c r="K71" s="1" t="s">
        <v>44</v>
      </c>
      <c r="L71" s="1" t="s">
        <v>30</v>
      </c>
      <c r="M71" s="1" t="s">
        <v>31</v>
      </c>
      <c r="N71" s="1" t="s">
        <v>156</v>
      </c>
      <c r="O71" s="1" t="s">
        <v>70</v>
      </c>
      <c r="P71" s="1">
        <v>12000</v>
      </c>
      <c r="Q71" s="1">
        <v>2022</v>
      </c>
      <c r="R71" s="1">
        <v>202402</v>
      </c>
      <c r="S71" s="1" t="s">
        <v>47</v>
      </c>
      <c r="T71" s="1" t="s">
        <v>35</v>
      </c>
    </row>
    <row r="72" spans="1:20" ht="13" x14ac:dyDescent="0.15">
      <c r="A72" s="1" t="s">
        <v>321</v>
      </c>
      <c r="B72" s="1" t="s">
        <v>273</v>
      </c>
      <c r="C72" s="1" t="s">
        <v>288</v>
      </c>
      <c r="D72" s="1" t="s">
        <v>23</v>
      </c>
      <c r="E72" s="1" t="s">
        <v>73</v>
      </c>
      <c r="F72" s="1" t="s">
        <v>25</v>
      </c>
      <c r="G72" s="1">
        <v>26900</v>
      </c>
      <c r="H72" s="1" t="s">
        <v>41</v>
      </c>
      <c r="I72" s="1" t="s">
        <v>289</v>
      </c>
      <c r="J72" s="1" t="s">
        <v>290</v>
      </c>
      <c r="K72" s="1" t="s">
        <v>99</v>
      </c>
      <c r="L72" s="1" t="s">
        <v>68</v>
      </c>
      <c r="M72" s="1" t="s">
        <v>166</v>
      </c>
      <c r="O72" s="1" t="s">
        <v>70</v>
      </c>
      <c r="P72" s="1">
        <v>8000</v>
      </c>
      <c r="Q72" s="1">
        <v>2023</v>
      </c>
      <c r="R72" s="1">
        <v>202410</v>
      </c>
      <c r="S72" s="1" t="s">
        <v>157</v>
      </c>
      <c r="T72" s="1" t="s">
        <v>158</v>
      </c>
    </row>
    <row r="73" spans="1:20" ht="13" x14ac:dyDescent="0.15">
      <c r="A73" s="1" t="s">
        <v>322</v>
      </c>
      <c r="B73" s="1" t="s">
        <v>222</v>
      </c>
      <c r="C73" s="1" t="s">
        <v>283</v>
      </c>
      <c r="D73" s="1" t="s">
        <v>90</v>
      </c>
      <c r="E73" s="1" t="s">
        <v>91</v>
      </c>
      <c r="F73" s="1" t="s">
        <v>25</v>
      </c>
      <c r="G73" s="1">
        <v>27900</v>
      </c>
      <c r="H73" s="1" t="s">
        <v>41</v>
      </c>
      <c r="I73" s="1" t="s">
        <v>284</v>
      </c>
      <c r="J73" s="1" t="s">
        <v>285</v>
      </c>
      <c r="K73" s="1" t="s">
        <v>142</v>
      </c>
      <c r="L73" s="1" t="s">
        <v>85</v>
      </c>
      <c r="M73" s="1" t="s">
        <v>31</v>
      </c>
      <c r="N73" s="1" t="s">
        <v>286</v>
      </c>
      <c r="O73" s="1" t="s">
        <v>54</v>
      </c>
      <c r="P73" s="1">
        <v>13000</v>
      </c>
      <c r="Q73" s="1">
        <v>2023</v>
      </c>
      <c r="R73" s="1">
        <v>202410</v>
      </c>
      <c r="S73" s="1" t="s">
        <v>157</v>
      </c>
      <c r="T73" s="1" t="s">
        <v>158</v>
      </c>
    </row>
    <row r="74" spans="1:20" ht="13" x14ac:dyDescent="0.15">
      <c r="A74" s="1" t="s">
        <v>323</v>
      </c>
      <c r="B74" s="1" t="s">
        <v>212</v>
      </c>
      <c r="C74" s="1" t="s">
        <v>213</v>
      </c>
      <c r="D74" s="1" t="s">
        <v>23</v>
      </c>
      <c r="E74" s="1" t="s">
        <v>73</v>
      </c>
      <c r="F74" s="1" t="s">
        <v>25</v>
      </c>
      <c r="G74" s="1">
        <v>26800</v>
      </c>
      <c r="H74" s="1" t="s">
        <v>41</v>
      </c>
      <c r="I74" s="1" t="s">
        <v>214</v>
      </c>
      <c r="J74" s="1" t="s">
        <v>215</v>
      </c>
      <c r="L74" s="1" t="s">
        <v>52</v>
      </c>
      <c r="M74" s="1" t="s">
        <v>31</v>
      </c>
      <c r="N74" s="1" t="s">
        <v>60</v>
      </c>
      <c r="O74" s="1" t="s">
        <v>54</v>
      </c>
      <c r="P74" s="1">
        <v>22000</v>
      </c>
      <c r="Q74" s="1">
        <v>2020</v>
      </c>
      <c r="R74" s="1">
        <v>202402</v>
      </c>
      <c r="S74" s="1" t="s">
        <v>47</v>
      </c>
      <c r="T74" s="1" t="s">
        <v>35</v>
      </c>
    </row>
    <row r="75" spans="1:20" ht="13" x14ac:dyDescent="0.15">
      <c r="A75" s="1" t="s">
        <v>324</v>
      </c>
      <c r="B75" s="1" t="s">
        <v>255</v>
      </c>
      <c r="C75" s="1" t="s">
        <v>296</v>
      </c>
      <c r="D75" s="1" t="s">
        <v>90</v>
      </c>
      <c r="E75" s="1" t="s">
        <v>91</v>
      </c>
      <c r="F75" s="1" t="s">
        <v>25</v>
      </c>
      <c r="G75" s="1">
        <v>29800</v>
      </c>
      <c r="H75" s="1" t="s">
        <v>41</v>
      </c>
      <c r="I75" s="1" t="s">
        <v>297</v>
      </c>
      <c r="J75" s="1" t="s">
        <v>298</v>
      </c>
      <c r="K75" s="1" t="s">
        <v>67</v>
      </c>
      <c r="L75" s="1" t="s">
        <v>68</v>
      </c>
      <c r="M75" s="1" t="s">
        <v>31</v>
      </c>
      <c r="N75" s="1" t="s">
        <v>53</v>
      </c>
      <c r="O75" s="1" t="s">
        <v>143</v>
      </c>
      <c r="P75" s="1">
        <v>9000</v>
      </c>
      <c r="Q75" s="1">
        <v>2023</v>
      </c>
      <c r="R75" s="1">
        <v>202411</v>
      </c>
      <c r="S75" s="1" t="s">
        <v>179</v>
      </c>
      <c r="T75" s="1" t="s">
        <v>158</v>
      </c>
    </row>
    <row r="76" spans="1:20" ht="13" x14ac:dyDescent="0.15">
      <c r="A76" s="1" t="s">
        <v>325</v>
      </c>
      <c r="B76" s="1" t="s">
        <v>212</v>
      </c>
      <c r="C76" s="1" t="s">
        <v>213</v>
      </c>
      <c r="D76" s="1" t="s">
        <v>23</v>
      </c>
      <c r="E76" s="1" t="s">
        <v>73</v>
      </c>
      <c r="F76" s="1" t="s">
        <v>25</v>
      </c>
      <c r="G76" s="1">
        <v>27500</v>
      </c>
      <c r="H76" s="1" t="s">
        <v>41</v>
      </c>
      <c r="I76" s="1" t="s">
        <v>233</v>
      </c>
      <c r="J76" s="1" t="s">
        <v>234</v>
      </c>
      <c r="K76" s="1" t="s">
        <v>183</v>
      </c>
      <c r="L76" s="1" t="s">
        <v>85</v>
      </c>
      <c r="M76" s="1" t="s">
        <v>31</v>
      </c>
      <c r="N76" s="1" t="s">
        <v>60</v>
      </c>
      <c r="P76" s="1">
        <v>26000</v>
      </c>
      <c r="Q76" s="1">
        <v>2020</v>
      </c>
      <c r="R76" s="1">
        <v>202403</v>
      </c>
      <c r="S76" s="1" t="s">
        <v>55</v>
      </c>
      <c r="T76" s="1" t="s">
        <v>35</v>
      </c>
    </row>
    <row r="77" spans="1:20" ht="13" x14ac:dyDescent="0.15">
      <c r="A77" s="1" t="s">
        <v>326</v>
      </c>
      <c r="B77" s="1" t="s">
        <v>212</v>
      </c>
      <c r="C77" s="1" t="s">
        <v>213</v>
      </c>
      <c r="D77" s="1" t="s">
        <v>23</v>
      </c>
      <c r="E77" s="1" t="s">
        <v>73</v>
      </c>
      <c r="F77" s="1" t="s">
        <v>25</v>
      </c>
      <c r="G77" s="1">
        <v>26800</v>
      </c>
      <c r="H77" s="1" t="s">
        <v>41</v>
      </c>
      <c r="I77" s="1" t="s">
        <v>214</v>
      </c>
      <c r="J77" s="1" t="s">
        <v>215</v>
      </c>
      <c r="L77" s="1" t="s">
        <v>52</v>
      </c>
      <c r="M77" s="1" t="s">
        <v>31</v>
      </c>
      <c r="N77" s="1" t="s">
        <v>60</v>
      </c>
      <c r="O77" s="1" t="s">
        <v>54</v>
      </c>
      <c r="P77" s="1">
        <v>22000</v>
      </c>
      <c r="Q77" s="1">
        <v>2020</v>
      </c>
      <c r="R77" s="1">
        <v>202402</v>
      </c>
      <c r="S77" s="1" t="s">
        <v>47</v>
      </c>
      <c r="T77" s="1" t="s">
        <v>35</v>
      </c>
    </row>
    <row r="78" spans="1:20" ht="13" x14ac:dyDescent="0.15">
      <c r="A78" s="1" t="s">
        <v>327</v>
      </c>
      <c r="B78" s="1" t="s">
        <v>222</v>
      </c>
      <c r="C78" s="1" t="s">
        <v>283</v>
      </c>
      <c r="D78" s="1" t="s">
        <v>104</v>
      </c>
      <c r="E78" s="1" t="s">
        <v>91</v>
      </c>
      <c r="F78" s="1" t="s">
        <v>25</v>
      </c>
      <c r="G78" s="1">
        <v>27900</v>
      </c>
      <c r="H78" s="1" t="s">
        <v>41</v>
      </c>
      <c r="I78" s="1" t="s">
        <v>284</v>
      </c>
      <c r="J78" s="1" t="s">
        <v>285</v>
      </c>
      <c r="K78" s="1" t="s">
        <v>142</v>
      </c>
      <c r="L78" s="1" t="s">
        <v>85</v>
      </c>
      <c r="M78" s="1" t="s">
        <v>31</v>
      </c>
      <c r="N78" s="1" t="s">
        <v>286</v>
      </c>
      <c r="O78" s="1" t="s">
        <v>54</v>
      </c>
      <c r="P78" s="1">
        <v>13000</v>
      </c>
      <c r="Q78" s="1">
        <v>2023</v>
      </c>
      <c r="R78" s="1">
        <v>202410</v>
      </c>
      <c r="S78" s="1" t="s">
        <v>157</v>
      </c>
      <c r="T78" s="1" t="s">
        <v>158</v>
      </c>
    </row>
    <row r="79" spans="1:20" ht="13" x14ac:dyDescent="0.15">
      <c r="A79" s="1" t="s">
        <v>328</v>
      </c>
      <c r="B79" s="1" t="s">
        <v>207</v>
      </c>
      <c r="C79" s="1" t="s">
        <v>208</v>
      </c>
      <c r="D79" s="1" t="s">
        <v>23</v>
      </c>
      <c r="E79" s="1" t="s">
        <v>24</v>
      </c>
      <c r="F79" s="1" t="s">
        <v>25</v>
      </c>
      <c r="G79" s="1">
        <v>24500</v>
      </c>
      <c r="H79" s="1" t="s">
        <v>26</v>
      </c>
      <c r="I79" s="1" t="s">
        <v>209</v>
      </c>
      <c r="J79" s="1" t="s">
        <v>210</v>
      </c>
      <c r="K79" s="1" t="s">
        <v>147</v>
      </c>
      <c r="L79" s="1" t="s">
        <v>52</v>
      </c>
      <c r="M79" s="1" t="s">
        <v>31</v>
      </c>
      <c r="N79" s="1" t="s">
        <v>53</v>
      </c>
      <c r="O79" s="1" t="s">
        <v>61</v>
      </c>
      <c r="P79" s="1">
        <v>15000</v>
      </c>
      <c r="Q79" s="1">
        <v>2021</v>
      </c>
      <c r="R79" s="1">
        <v>202401</v>
      </c>
      <c r="S79" s="1" t="s">
        <v>34</v>
      </c>
      <c r="T79" s="1" t="s">
        <v>35</v>
      </c>
    </row>
    <row r="80" spans="1:20" ht="13" x14ac:dyDescent="0.15">
      <c r="A80" s="1" t="s">
        <v>329</v>
      </c>
      <c r="B80" s="1" t="s">
        <v>212</v>
      </c>
      <c r="C80" s="1" t="s">
        <v>304</v>
      </c>
      <c r="D80" s="1" t="s">
        <v>262</v>
      </c>
      <c r="E80" s="1" t="s">
        <v>305</v>
      </c>
      <c r="F80" s="1" t="s">
        <v>25</v>
      </c>
      <c r="G80" s="1">
        <v>115900</v>
      </c>
      <c r="H80" s="1" t="s">
        <v>264</v>
      </c>
      <c r="I80" s="1" t="s">
        <v>306</v>
      </c>
      <c r="J80" s="1" t="s">
        <v>307</v>
      </c>
      <c r="K80" s="1" t="s">
        <v>183</v>
      </c>
      <c r="L80" s="1" t="s">
        <v>85</v>
      </c>
      <c r="M80" s="1" t="s">
        <v>31</v>
      </c>
      <c r="N80" s="1" t="s">
        <v>128</v>
      </c>
      <c r="O80" s="1" t="s">
        <v>46</v>
      </c>
      <c r="P80" s="1">
        <v>2500</v>
      </c>
      <c r="Q80" s="1">
        <v>2024</v>
      </c>
      <c r="R80" s="1">
        <v>202412</v>
      </c>
      <c r="S80" s="1" t="s">
        <v>197</v>
      </c>
      <c r="T80" s="1" t="s">
        <v>158</v>
      </c>
    </row>
    <row r="81" spans="1:20" ht="13" x14ac:dyDescent="0.15">
      <c r="A81" s="1" t="s">
        <v>330</v>
      </c>
      <c r="B81" s="1" t="s">
        <v>273</v>
      </c>
      <c r="C81" s="1" t="s">
        <v>288</v>
      </c>
      <c r="D81" s="1" t="s">
        <v>23</v>
      </c>
      <c r="E81" s="1" t="s">
        <v>73</v>
      </c>
      <c r="F81" s="1" t="s">
        <v>25</v>
      </c>
      <c r="G81" s="1">
        <v>26900</v>
      </c>
      <c r="H81" s="1" t="s">
        <v>41</v>
      </c>
      <c r="I81" s="1" t="s">
        <v>289</v>
      </c>
      <c r="J81" s="1" t="s">
        <v>290</v>
      </c>
      <c r="K81" s="1" t="s">
        <v>99</v>
      </c>
      <c r="L81" s="1" t="s">
        <v>68</v>
      </c>
      <c r="M81" s="1" t="s">
        <v>166</v>
      </c>
      <c r="O81" s="1" t="s">
        <v>70</v>
      </c>
      <c r="P81" s="1">
        <v>8000</v>
      </c>
      <c r="Q81" s="1">
        <v>2023</v>
      </c>
      <c r="R81" s="1">
        <v>202410</v>
      </c>
      <c r="S81" s="1" t="s">
        <v>157</v>
      </c>
      <c r="T81" s="1" t="s">
        <v>158</v>
      </c>
    </row>
    <row r="82" spans="1:20" ht="13" x14ac:dyDescent="0.15">
      <c r="A82" s="1" t="s">
        <v>331</v>
      </c>
      <c r="B82" s="1" t="s">
        <v>244</v>
      </c>
      <c r="C82" s="1" t="s">
        <v>300</v>
      </c>
      <c r="D82" s="1" t="s">
        <v>23</v>
      </c>
      <c r="E82" s="1" t="s">
        <v>73</v>
      </c>
      <c r="F82" s="1" t="s">
        <v>111</v>
      </c>
      <c r="G82" s="1">
        <v>69900</v>
      </c>
      <c r="H82" s="1" t="s">
        <v>229</v>
      </c>
      <c r="I82" s="1" t="s">
        <v>301</v>
      </c>
      <c r="J82" s="1" t="s">
        <v>302</v>
      </c>
      <c r="K82" s="1" t="s">
        <v>248</v>
      </c>
      <c r="L82" s="1" t="s">
        <v>52</v>
      </c>
      <c r="M82" s="1" t="s">
        <v>31</v>
      </c>
      <c r="N82" s="1" t="s">
        <v>190</v>
      </c>
      <c r="O82" s="1" t="s">
        <v>33</v>
      </c>
      <c r="P82" s="1">
        <v>6000</v>
      </c>
      <c r="Q82" s="1">
        <v>2023</v>
      </c>
      <c r="R82" s="1">
        <v>202412</v>
      </c>
      <c r="S82" s="1" t="s">
        <v>197</v>
      </c>
      <c r="T82" s="1" t="s">
        <v>158</v>
      </c>
    </row>
    <row r="83" spans="1:20" ht="13" x14ac:dyDescent="0.15">
      <c r="A83" s="1" t="s">
        <v>332</v>
      </c>
      <c r="B83" s="1" t="s">
        <v>244</v>
      </c>
      <c r="C83" s="1" t="s">
        <v>261</v>
      </c>
      <c r="D83" s="1" t="s">
        <v>262</v>
      </c>
      <c r="E83" s="1" t="s">
        <v>263</v>
      </c>
      <c r="F83" s="1" t="s">
        <v>111</v>
      </c>
      <c r="G83" s="1">
        <v>99900</v>
      </c>
      <c r="H83" s="1" t="s">
        <v>264</v>
      </c>
      <c r="I83" s="1" t="s">
        <v>265</v>
      </c>
      <c r="J83" s="1" t="s">
        <v>266</v>
      </c>
      <c r="K83" s="1" t="s">
        <v>248</v>
      </c>
      <c r="L83" s="1" t="s">
        <v>52</v>
      </c>
      <c r="M83" s="1" t="s">
        <v>31</v>
      </c>
      <c r="N83" s="1" t="s">
        <v>190</v>
      </c>
      <c r="O83" s="1" t="s">
        <v>61</v>
      </c>
      <c r="P83" s="1">
        <v>18000</v>
      </c>
      <c r="Q83" s="1">
        <v>2022</v>
      </c>
      <c r="R83" s="1">
        <v>202407</v>
      </c>
      <c r="S83" s="1" t="s">
        <v>78</v>
      </c>
      <c r="T83" s="1" t="s">
        <v>79</v>
      </c>
    </row>
    <row r="84" spans="1:20" ht="13" x14ac:dyDescent="0.15">
      <c r="A84" s="1" t="s">
        <v>333</v>
      </c>
      <c r="B84" s="1" t="s">
        <v>255</v>
      </c>
      <c r="C84" s="1" t="s">
        <v>256</v>
      </c>
      <c r="D84" s="1" t="s">
        <v>104</v>
      </c>
      <c r="E84" s="1" t="s">
        <v>91</v>
      </c>
      <c r="F84" s="1" t="s">
        <v>25</v>
      </c>
      <c r="G84" s="1">
        <v>38900</v>
      </c>
      <c r="H84" s="1" t="s">
        <v>41</v>
      </c>
      <c r="I84" s="1" t="s">
        <v>257</v>
      </c>
      <c r="J84" s="1" t="s">
        <v>258</v>
      </c>
      <c r="K84" s="1" t="s">
        <v>67</v>
      </c>
      <c r="L84" s="1" t="s">
        <v>68</v>
      </c>
      <c r="M84" s="1" t="s">
        <v>31</v>
      </c>
      <c r="N84" s="1" t="s">
        <v>259</v>
      </c>
      <c r="O84" s="1" t="s">
        <v>143</v>
      </c>
      <c r="P84" s="1">
        <v>9000</v>
      </c>
      <c r="Q84" s="1">
        <v>2023</v>
      </c>
      <c r="R84" s="1">
        <v>202407</v>
      </c>
      <c r="S84" s="1" t="s">
        <v>78</v>
      </c>
      <c r="T84" s="1" t="s">
        <v>79</v>
      </c>
    </row>
    <row r="85" spans="1:20" ht="13" x14ac:dyDescent="0.15">
      <c r="A85" s="1" t="s">
        <v>334</v>
      </c>
      <c r="B85" s="1" t="s">
        <v>212</v>
      </c>
      <c r="C85" s="1" t="s">
        <v>250</v>
      </c>
      <c r="D85" s="1" t="s">
        <v>104</v>
      </c>
      <c r="E85" s="1" t="s">
        <v>91</v>
      </c>
      <c r="F85" s="1" t="s">
        <v>25</v>
      </c>
      <c r="G85" s="1">
        <v>51200</v>
      </c>
      <c r="H85" s="1" t="s">
        <v>92</v>
      </c>
      <c r="I85" s="1" t="s">
        <v>251</v>
      </c>
      <c r="J85" s="1" t="s">
        <v>252</v>
      </c>
      <c r="K85" s="1" t="s">
        <v>183</v>
      </c>
      <c r="L85" s="1" t="s">
        <v>85</v>
      </c>
      <c r="M85" s="1" t="s">
        <v>31</v>
      </c>
      <c r="N85" s="1" t="s">
        <v>253</v>
      </c>
      <c r="O85" s="1" t="s">
        <v>61</v>
      </c>
      <c r="P85" s="1">
        <v>30000</v>
      </c>
      <c r="Q85" s="1">
        <v>2020</v>
      </c>
      <c r="R85" s="1">
        <v>202407</v>
      </c>
      <c r="S85" s="1" t="s">
        <v>78</v>
      </c>
      <c r="T85" s="1" t="s">
        <v>79</v>
      </c>
    </row>
    <row r="86" spans="1:20" ht="13" x14ac:dyDescent="0.15">
      <c r="A86" s="1" t="s">
        <v>335</v>
      </c>
      <c r="B86" s="1" t="s">
        <v>212</v>
      </c>
      <c r="C86" s="1" t="s">
        <v>250</v>
      </c>
      <c r="D86" s="1" t="s">
        <v>104</v>
      </c>
      <c r="E86" s="1" t="s">
        <v>91</v>
      </c>
      <c r="F86" s="1" t="s">
        <v>25</v>
      </c>
      <c r="G86" s="1">
        <v>51200</v>
      </c>
      <c r="H86" s="1" t="s">
        <v>92</v>
      </c>
      <c r="I86" s="1" t="s">
        <v>251</v>
      </c>
      <c r="J86" s="1" t="s">
        <v>252</v>
      </c>
      <c r="K86" s="1" t="s">
        <v>183</v>
      </c>
      <c r="L86" s="1" t="s">
        <v>85</v>
      </c>
      <c r="M86" s="1" t="s">
        <v>31</v>
      </c>
      <c r="N86" s="1" t="s">
        <v>253</v>
      </c>
      <c r="O86" s="1" t="s">
        <v>61</v>
      </c>
      <c r="P86" s="1">
        <v>30000</v>
      </c>
      <c r="Q86" s="1">
        <v>2020</v>
      </c>
      <c r="R86" s="1">
        <v>202407</v>
      </c>
      <c r="S86" s="1" t="s">
        <v>78</v>
      </c>
      <c r="T86" s="1" t="s">
        <v>79</v>
      </c>
    </row>
    <row r="87" spans="1:20" ht="13" x14ac:dyDescent="0.15">
      <c r="A87" s="1" t="s">
        <v>336</v>
      </c>
      <c r="B87" s="1" t="s">
        <v>273</v>
      </c>
      <c r="C87" s="1" t="s">
        <v>274</v>
      </c>
      <c r="D87" s="1" t="s">
        <v>90</v>
      </c>
      <c r="E87" s="1" t="s">
        <v>91</v>
      </c>
      <c r="F87" s="1" t="s">
        <v>25</v>
      </c>
      <c r="G87" s="1">
        <v>35200</v>
      </c>
      <c r="H87" s="1" t="s">
        <v>41</v>
      </c>
      <c r="I87" s="1" t="s">
        <v>275</v>
      </c>
      <c r="J87" s="1" t="s">
        <v>276</v>
      </c>
      <c r="K87" s="1" t="s">
        <v>99</v>
      </c>
      <c r="L87" s="1" t="s">
        <v>68</v>
      </c>
      <c r="M87" s="1" t="s">
        <v>31</v>
      </c>
      <c r="N87" s="1" t="s">
        <v>60</v>
      </c>
      <c r="O87" s="1" t="s">
        <v>46</v>
      </c>
      <c r="P87" s="1">
        <v>25000</v>
      </c>
      <c r="Q87" s="1">
        <v>2020</v>
      </c>
      <c r="R87" s="1">
        <v>202409</v>
      </c>
      <c r="S87" s="1" t="s">
        <v>134</v>
      </c>
      <c r="T87" s="1" t="s">
        <v>79</v>
      </c>
    </row>
    <row r="88" spans="1:20" ht="13" x14ac:dyDescent="0.15">
      <c r="A88" s="1" t="s">
        <v>337</v>
      </c>
      <c r="B88" s="1" t="s">
        <v>217</v>
      </c>
      <c r="C88" s="1" t="s">
        <v>292</v>
      </c>
      <c r="D88" s="1" t="s">
        <v>23</v>
      </c>
      <c r="E88" s="1" t="s">
        <v>73</v>
      </c>
      <c r="F88" s="1" t="s">
        <v>25</v>
      </c>
      <c r="G88" s="1">
        <v>34500</v>
      </c>
      <c r="H88" s="1" t="s">
        <v>41</v>
      </c>
      <c r="I88" s="1" t="s">
        <v>293</v>
      </c>
      <c r="J88" s="1" t="s">
        <v>294</v>
      </c>
      <c r="K88" s="1" t="s">
        <v>138</v>
      </c>
      <c r="L88" s="1" t="s">
        <v>30</v>
      </c>
      <c r="M88" s="1" t="s">
        <v>31</v>
      </c>
      <c r="N88" s="1" t="s">
        <v>156</v>
      </c>
      <c r="O88" s="1" t="s">
        <v>70</v>
      </c>
      <c r="P88" s="1">
        <v>5000</v>
      </c>
      <c r="Q88" s="1">
        <v>2024</v>
      </c>
      <c r="R88" s="1">
        <v>202411</v>
      </c>
      <c r="S88" s="1" t="s">
        <v>179</v>
      </c>
      <c r="T88" s="1" t="s">
        <v>158</v>
      </c>
    </row>
    <row r="89" spans="1:20" ht="13" x14ac:dyDescent="0.15">
      <c r="A89" s="1" t="s">
        <v>338</v>
      </c>
      <c r="B89" s="1" t="s">
        <v>255</v>
      </c>
      <c r="C89" s="1" t="s">
        <v>278</v>
      </c>
      <c r="D89" s="1" t="s">
        <v>90</v>
      </c>
      <c r="E89" s="1" t="s">
        <v>91</v>
      </c>
      <c r="F89" s="1" t="s">
        <v>25</v>
      </c>
      <c r="G89" s="1">
        <v>22900</v>
      </c>
      <c r="H89" s="1" t="s">
        <v>26</v>
      </c>
      <c r="I89" s="1" t="s">
        <v>279</v>
      </c>
      <c r="J89" s="1" t="s">
        <v>280</v>
      </c>
      <c r="K89" s="1" t="s">
        <v>67</v>
      </c>
      <c r="L89" s="1" t="s">
        <v>68</v>
      </c>
      <c r="M89" s="1" t="s">
        <v>31</v>
      </c>
      <c r="N89" s="1" t="s">
        <v>281</v>
      </c>
      <c r="O89" s="1" t="s">
        <v>33</v>
      </c>
      <c r="P89" s="1">
        <v>19000</v>
      </c>
      <c r="Q89" s="1">
        <v>2021</v>
      </c>
      <c r="R89" s="1">
        <v>202409</v>
      </c>
      <c r="S89" s="1" t="s">
        <v>134</v>
      </c>
      <c r="T89" s="1" t="s">
        <v>79</v>
      </c>
    </row>
    <row r="90" spans="1:20" ht="13" x14ac:dyDescent="0.15">
      <c r="A90" s="1" t="s">
        <v>339</v>
      </c>
      <c r="B90" s="1" t="s">
        <v>244</v>
      </c>
      <c r="C90" s="1" t="s">
        <v>300</v>
      </c>
      <c r="D90" s="1" t="s">
        <v>23</v>
      </c>
      <c r="E90" s="1" t="s">
        <v>73</v>
      </c>
      <c r="F90" s="1" t="s">
        <v>111</v>
      </c>
      <c r="G90" s="1">
        <v>69900</v>
      </c>
      <c r="H90" s="1" t="s">
        <v>229</v>
      </c>
      <c r="I90" s="1" t="s">
        <v>301</v>
      </c>
      <c r="J90" s="1" t="s">
        <v>302</v>
      </c>
      <c r="K90" s="1" t="s">
        <v>248</v>
      </c>
      <c r="L90" s="1" t="s">
        <v>52</v>
      </c>
      <c r="M90" s="1" t="s">
        <v>31</v>
      </c>
      <c r="N90" s="1" t="s">
        <v>190</v>
      </c>
      <c r="O90" s="1" t="s">
        <v>33</v>
      </c>
      <c r="P90" s="1">
        <v>6000</v>
      </c>
      <c r="Q90" s="1">
        <v>2023</v>
      </c>
      <c r="R90" s="1">
        <v>202412</v>
      </c>
      <c r="S90" s="1" t="s">
        <v>197</v>
      </c>
      <c r="T90" s="1" t="s">
        <v>158</v>
      </c>
    </row>
    <row r="91" spans="1:20" ht="13" x14ac:dyDescent="0.15">
      <c r="A91" s="1" t="s">
        <v>340</v>
      </c>
      <c r="B91" s="1" t="s">
        <v>217</v>
      </c>
      <c r="C91" s="1" t="s">
        <v>218</v>
      </c>
      <c r="D91" s="1" t="s">
        <v>23</v>
      </c>
      <c r="E91" s="1" t="s">
        <v>24</v>
      </c>
      <c r="F91" s="1" t="s">
        <v>25</v>
      </c>
      <c r="G91" s="1">
        <v>22900</v>
      </c>
      <c r="H91" s="1" t="s">
        <v>26</v>
      </c>
      <c r="I91" s="1" t="s">
        <v>219</v>
      </c>
      <c r="J91" s="1" t="s">
        <v>220</v>
      </c>
      <c r="K91" s="1" t="s">
        <v>44</v>
      </c>
      <c r="L91" s="1" t="s">
        <v>30</v>
      </c>
      <c r="M91" s="1" t="s">
        <v>31</v>
      </c>
      <c r="N91" s="1" t="s">
        <v>156</v>
      </c>
      <c r="O91" s="1" t="s">
        <v>70</v>
      </c>
      <c r="P91" s="1">
        <v>12000</v>
      </c>
      <c r="Q91" s="1">
        <v>2022</v>
      </c>
      <c r="R91" s="1">
        <v>202402</v>
      </c>
      <c r="S91" s="1" t="s">
        <v>47</v>
      </c>
      <c r="T91" s="1" t="s">
        <v>35</v>
      </c>
    </row>
    <row r="92" spans="1:20" ht="13" x14ac:dyDescent="0.15">
      <c r="A92" s="1" t="s">
        <v>341</v>
      </c>
      <c r="B92" s="1" t="s">
        <v>227</v>
      </c>
      <c r="C92" s="1" t="s">
        <v>228</v>
      </c>
      <c r="D92" s="1" t="s">
        <v>23</v>
      </c>
      <c r="E92" s="1" t="s">
        <v>73</v>
      </c>
      <c r="F92" s="1" t="s">
        <v>111</v>
      </c>
      <c r="G92" s="1">
        <v>89500</v>
      </c>
      <c r="H92" s="1" t="s">
        <v>229</v>
      </c>
      <c r="I92" s="1" t="s">
        <v>230</v>
      </c>
      <c r="J92" s="1" t="s">
        <v>231</v>
      </c>
      <c r="K92" s="1" t="s">
        <v>165</v>
      </c>
      <c r="L92" s="1" t="s">
        <v>30</v>
      </c>
      <c r="M92" s="1" t="s">
        <v>166</v>
      </c>
      <c r="O92" s="1" t="s">
        <v>70</v>
      </c>
      <c r="P92" s="1">
        <v>8000</v>
      </c>
      <c r="Q92" s="1">
        <v>2023</v>
      </c>
      <c r="R92" s="1">
        <v>202403</v>
      </c>
      <c r="S92" s="1" t="s">
        <v>55</v>
      </c>
      <c r="T92" s="1" t="s">
        <v>35</v>
      </c>
    </row>
    <row r="93" spans="1:20" ht="13" x14ac:dyDescent="0.15">
      <c r="A93" s="1" t="s">
        <v>342</v>
      </c>
      <c r="B93" s="1" t="s">
        <v>273</v>
      </c>
      <c r="C93" s="1" t="s">
        <v>274</v>
      </c>
      <c r="D93" s="1" t="s">
        <v>90</v>
      </c>
      <c r="E93" s="1" t="s">
        <v>91</v>
      </c>
      <c r="F93" s="1" t="s">
        <v>25</v>
      </c>
      <c r="G93" s="1">
        <v>35200</v>
      </c>
      <c r="H93" s="1" t="s">
        <v>41</v>
      </c>
      <c r="I93" s="1" t="s">
        <v>275</v>
      </c>
      <c r="J93" s="1" t="s">
        <v>276</v>
      </c>
      <c r="K93" s="1" t="s">
        <v>99</v>
      </c>
      <c r="L93" s="1" t="s">
        <v>68</v>
      </c>
      <c r="M93" s="1" t="s">
        <v>31</v>
      </c>
      <c r="N93" s="1" t="s">
        <v>60</v>
      </c>
      <c r="O93" s="1" t="s">
        <v>46</v>
      </c>
      <c r="P93" s="1">
        <v>25000</v>
      </c>
      <c r="Q93" s="1">
        <v>2020</v>
      </c>
      <c r="R93" s="1">
        <v>202409</v>
      </c>
      <c r="S93" s="1" t="s">
        <v>134</v>
      </c>
      <c r="T93" s="1" t="s">
        <v>79</v>
      </c>
    </row>
    <row r="94" spans="1:20" ht="13" x14ac:dyDescent="0.15">
      <c r="A94" s="1" t="s">
        <v>343</v>
      </c>
      <c r="B94" s="1" t="s">
        <v>222</v>
      </c>
      <c r="C94" s="1" t="s">
        <v>223</v>
      </c>
      <c r="D94" s="1" t="s">
        <v>90</v>
      </c>
      <c r="E94" s="1" t="s">
        <v>91</v>
      </c>
      <c r="F94" s="1" t="s">
        <v>25</v>
      </c>
      <c r="G94" s="1">
        <v>41200</v>
      </c>
      <c r="H94" s="1" t="s">
        <v>92</v>
      </c>
      <c r="I94" s="1" t="s">
        <v>236</v>
      </c>
      <c r="J94" s="1" t="s">
        <v>237</v>
      </c>
      <c r="K94" s="1" t="s">
        <v>84</v>
      </c>
      <c r="L94" s="1" t="s">
        <v>85</v>
      </c>
      <c r="M94" s="1" t="s">
        <v>31</v>
      </c>
      <c r="N94" s="1" t="s">
        <v>86</v>
      </c>
      <c r="O94" s="1" t="s">
        <v>46</v>
      </c>
      <c r="P94" s="1">
        <v>29000</v>
      </c>
      <c r="Q94" s="1">
        <v>2020</v>
      </c>
      <c r="R94" s="1">
        <v>202403</v>
      </c>
      <c r="S94" s="1" t="s">
        <v>55</v>
      </c>
      <c r="T94" s="1" t="s">
        <v>35</v>
      </c>
    </row>
    <row r="95" spans="1:20" ht="13" x14ac:dyDescent="0.15">
      <c r="A95" s="1" t="s">
        <v>344</v>
      </c>
      <c r="B95" s="1" t="s">
        <v>222</v>
      </c>
      <c r="C95" s="1" t="s">
        <v>283</v>
      </c>
      <c r="D95" s="1" t="s">
        <v>90</v>
      </c>
      <c r="E95" s="1" t="s">
        <v>91</v>
      </c>
      <c r="F95" s="1" t="s">
        <v>25</v>
      </c>
      <c r="G95" s="1">
        <v>27900</v>
      </c>
      <c r="H95" s="1" t="s">
        <v>41</v>
      </c>
      <c r="I95" s="1" t="s">
        <v>284</v>
      </c>
      <c r="J95" s="1" t="s">
        <v>285</v>
      </c>
      <c r="K95" s="1" t="s">
        <v>142</v>
      </c>
      <c r="L95" s="1" t="s">
        <v>85</v>
      </c>
      <c r="M95" s="1" t="s">
        <v>31</v>
      </c>
      <c r="N95" s="1" t="s">
        <v>286</v>
      </c>
      <c r="O95" s="1" t="s">
        <v>54</v>
      </c>
      <c r="P95" s="1">
        <v>13000</v>
      </c>
      <c r="Q95" s="1">
        <v>2023</v>
      </c>
      <c r="R95" s="1">
        <v>202410</v>
      </c>
      <c r="S95" s="1" t="s">
        <v>157</v>
      </c>
      <c r="T95" s="1" t="s">
        <v>158</v>
      </c>
    </row>
    <row r="96" spans="1:20" ht="13" x14ac:dyDescent="0.15">
      <c r="A96" s="1" t="s">
        <v>345</v>
      </c>
      <c r="B96" s="1" t="s">
        <v>222</v>
      </c>
      <c r="C96" s="1" t="s">
        <v>223</v>
      </c>
      <c r="D96" s="1" t="s">
        <v>90</v>
      </c>
      <c r="E96" s="1" t="s">
        <v>91</v>
      </c>
      <c r="F96" s="1" t="s">
        <v>25</v>
      </c>
      <c r="G96" s="1">
        <v>41200</v>
      </c>
      <c r="H96" s="1" t="s">
        <v>92</v>
      </c>
      <c r="I96" s="1" t="s">
        <v>236</v>
      </c>
      <c r="J96" s="1" t="s">
        <v>237</v>
      </c>
      <c r="K96" s="1" t="s">
        <v>84</v>
      </c>
      <c r="L96" s="1" t="s">
        <v>85</v>
      </c>
      <c r="M96" s="1" t="s">
        <v>31</v>
      </c>
      <c r="N96" s="1" t="s">
        <v>86</v>
      </c>
      <c r="O96" s="1" t="s">
        <v>46</v>
      </c>
      <c r="P96" s="1">
        <v>29000</v>
      </c>
      <c r="Q96" s="1">
        <v>2020</v>
      </c>
      <c r="R96" s="1">
        <v>202403</v>
      </c>
      <c r="S96" s="1" t="s">
        <v>55</v>
      </c>
      <c r="T96" s="1" t="s">
        <v>35</v>
      </c>
    </row>
    <row r="97" spans="1:20" ht="13" x14ac:dyDescent="0.15">
      <c r="A97" s="1" t="s">
        <v>346</v>
      </c>
      <c r="B97" s="1" t="s">
        <v>222</v>
      </c>
      <c r="C97" s="1" t="s">
        <v>268</v>
      </c>
      <c r="D97" s="1" t="s">
        <v>90</v>
      </c>
      <c r="E97" s="1" t="s">
        <v>91</v>
      </c>
      <c r="F97" s="1" t="s">
        <v>25</v>
      </c>
      <c r="G97" s="1">
        <v>22900</v>
      </c>
      <c r="H97" s="1" t="s">
        <v>26</v>
      </c>
      <c r="I97" s="1" t="s">
        <v>269</v>
      </c>
      <c r="J97" s="1" t="s">
        <v>270</v>
      </c>
      <c r="K97" s="1" t="s">
        <v>142</v>
      </c>
      <c r="L97" s="1" t="s">
        <v>85</v>
      </c>
      <c r="M97" s="1" t="s">
        <v>31</v>
      </c>
      <c r="N97" s="1" t="s">
        <v>271</v>
      </c>
      <c r="O97" s="1" t="s">
        <v>54</v>
      </c>
      <c r="P97" s="1">
        <v>45000</v>
      </c>
      <c r="Q97" s="1">
        <v>2016</v>
      </c>
      <c r="R97" s="1">
        <v>202408</v>
      </c>
      <c r="S97" s="1" t="s">
        <v>108</v>
      </c>
      <c r="T97" s="1" t="s">
        <v>79</v>
      </c>
    </row>
    <row r="98" spans="1:20" ht="13" x14ac:dyDescent="0.15">
      <c r="A98" s="1" t="s">
        <v>347</v>
      </c>
      <c r="B98" s="1" t="s">
        <v>222</v>
      </c>
      <c r="C98" s="1" t="s">
        <v>223</v>
      </c>
      <c r="D98" s="1" t="s">
        <v>90</v>
      </c>
      <c r="E98" s="1" t="s">
        <v>91</v>
      </c>
      <c r="F98" s="1" t="s">
        <v>25</v>
      </c>
      <c r="G98" s="1">
        <v>38900</v>
      </c>
      <c r="H98" s="1" t="s">
        <v>41</v>
      </c>
      <c r="I98" s="1" t="s">
        <v>224</v>
      </c>
      <c r="J98" s="1" t="s">
        <v>225</v>
      </c>
      <c r="K98" s="1" t="s">
        <v>142</v>
      </c>
      <c r="L98" s="1" t="s">
        <v>85</v>
      </c>
      <c r="M98" s="1" t="s">
        <v>31</v>
      </c>
      <c r="N98" s="1" t="s">
        <v>86</v>
      </c>
      <c r="O98" s="1" t="s">
        <v>101</v>
      </c>
      <c r="P98" s="1">
        <v>35000</v>
      </c>
      <c r="Q98" s="1">
        <v>2020</v>
      </c>
      <c r="R98" s="1">
        <v>202402</v>
      </c>
      <c r="S98" s="1" t="s">
        <v>47</v>
      </c>
      <c r="T98" s="1" t="s">
        <v>35</v>
      </c>
    </row>
    <row r="99" spans="1:20" ht="13" x14ac:dyDescent="0.15">
      <c r="A99" s="1" t="s">
        <v>348</v>
      </c>
      <c r="B99" s="1" t="s">
        <v>244</v>
      </c>
      <c r="C99" s="1" t="s">
        <v>300</v>
      </c>
      <c r="D99" s="1" t="s">
        <v>23</v>
      </c>
      <c r="E99" s="1" t="s">
        <v>73</v>
      </c>
      <c r="F99" s="1" t="s">
        <v>111</v>
      </c>
      <c r="G99" s="1">
        <v>69900</v>
      </c>
      <c r="H99" s="1" t="s">
        <v>229</v>
      </c>
      <c r="I99" s="1" t="s">
        <v>301</v>
      </c>
      <c r="J99" s="1" t="s">
        <v>302</v>
      </c>
      <c r="K99" s="1" t="s">
        <v>248</v>
      </c>
      <c r="L99" s="1" t="s">
        <v>52</v>
      </c>
      <c r="M99" s="1" t="s">
        <v>31</v>
      </c>
      <c r="N99" s="1" t="s">
        <v>190</v>
      </c>
      <c r="O99" s="1" t="s">
        <v>33</v>
      </c>
      <c r="P99" s="1">
        <v>6000</v>
      </c>
      <c r="Q99" s="1">
        <v>2023</v>
      </c>
      <c r="R99" s="1">
        <v>202412</v>
      </c>
      <c r="S99" s="1" t="s">
        <v>197</v>
      </c>
      <c r="T99" s="1" t="s">
        <v>158</v>
      </c>
    </row>
    <row r="100" spans="1:20" ht="13" x14ac:dyDescent="0.15">
      <c r="A100" s="1" t="s">
        <v>349</v>
      </c>
      <c r="B100" s="1" t="s">
        <v>244</v>
      </c>
      <c r="C100" s="1" t="s">
        <v>245</v>
      </c>
      <c r="D100" s="1" t="s">
        <v>23</v>
      </c>
      <c r="E100" s="1" t="s">
        <v>73</v>
      </c>
      <c r="F100" s="1" t="s">
        <v>111</v>
      </c>
      <c r="G100" s="1">
        <v>89900</v>
      </c>
      <c r="H100" s="1" t="s">
        <v>229</v>
      </c>
      <c r="I100" s="1" t="s">
        <v>246</v>
      </c>
      <c r="J100" s="1" t="s">
        <v>247</v>
      </c>
      <c r="K100" s="1" t="s">
        <v>248</v>
      </c>
      <c r="L100" s="1" t="s">
        <v>52</v>
      </c>
      <c r="M100" s="1" t="s">
        <v>31</v>
      </c>
      <c r="N100" s="1" t="s">
        <v>190</v>
      </c>
      <c r="O100" s="1" t="s">
        <v>101</v>
      </c>
      <c r="P100" s="1">
        <v>26000</v>
      </c>
      <c r="Q100" s="1">
        <v>2020</v>
      </c>
      <c r="R100" s="1">
        <v>202407</v>
      </c>
      <c r="S100" s="1" t="s">
        <v>78</v>
      </c>
      <c r="T100" s="1" t="s">
        <v>79</v>
      </c>
    </row>
    <row r="101" spans="1:20" ht="13" x14ac:dyDescent="0.15">
      <c r="A101" s="1" t="s">
        <v>350</v>
      </c>
      <c r="B101" s="1" t="s">
        <v>222</v>
      </c>
      <c r="C101" s="1" t="s">
        <v>268</v>
      </c>
      <c r="D101" s="1" t="s">
        <v>90</v>
      </c>
      <c r="E101" s="1" t="s">
        <v>91</v>
      </c>
      <c r="F101" s="1" t="s">
        <v>25</v>
      </c>
      <c r="G101" s="1">
        <v>22900</v>
      </c>
      <c r="H101" s="1" t="s">
        <v>26</v>
      </c>
      <c r="I101" s="1" t="s">
        <v>269</v>
      </c>
      <c r="J101" s="1" t="s">
        <v>270</v>
      </c>
      <c r="K101" s="1" t="s">
        <v>142</v>
      </c>
      <c r="L101" s="1" t="s">
        <v>85</v>
      </c>
      <c r="M101" s="1" t="s">
        <v>31</v>
      </c>
      <c r="N101" s="1" t="s">
        <v>271</v>
      </c>
      <c r="O101" s="1" t="s">
        <v>54</v>
      </c>
      <c r="P101" s="1">
        <v>45000</v>
      </c>
      <c r="Q101" s="1">
        <v>2016</v>
      </c>
      <c r="R101" s="1">
        <v>202408</v>
      </c>
      <c r="S101" s="1" t="s">
        <v>108</v>
      </c>
      <c r="T101" s="1" t="s">
        <v>79</v>
      </c>
    </row>
    <row r="102" spans="1:20" ht="13" x14ac:dyDescent="0.15">
      <c r="A102" s="1" t="s">
        <v>351</v>
      </c>
      <c r="B102" s="1" t="s">
        <v>212</v>
      </c>
      <c r="C102" s="1" t="s">
        <v>304</v>
      </c>
      <c r="D102" s="1" t="s">
        <v>262</v>
      </c>
      <c r="E102" s="1" t="s">
        <v>305</v>
      </c>
      <c r="F102" s="1" t="s">
        <v>25</v>
      </c>
      <c r="G102" s="1">
        <v>115900</v>
      </c>
      <c r="H102" s="1" t="s">
        <v>264</v>
      </c>
      <c r="I102" s="1" t="s">
        <v>306</v>
      </c>
      <c r="J102" s="1" t="s">
        <v>307</v>
      </c>
      <c r="K102" s="1" t="s">
        <v>183</v>
      </c>
      <c r="L102" s="1" t="s">
        <v>85</v>
      </c>
      <c r="M102" s="1" t="s">
        <v>31</v>
      </c>
      <c r="N102" s="1" t="s">
        <v>128</v>
      </c>
      <c r="O102" s="1" t="s">
        <v>46</v>
      </c>
      <c r="P102" s="1">
        <v>2500</v>
      </c>
      <c r="Q102" s="1">
        <v>2024</v>
      </c>
      <c r="R102" s="1">
        <v>202412</v>
      </c>
      <c r="S102" s="1" t="s">
        <v>197</v>
      </c>
      <c r="T102" s="1" t="s">
        <v>158</v>
      </c>
    </row>
    <row r="103" spans="1:20" ht="13" x14ac:dyDescent="0.15">
      <c r="A103" s="1" t="s">
        <v>352</v>
      </c>
      <c r="B103" s="1" t="s">
        <v>212</v>
      </c>
      <c r="C103" s="1" t="s">
        <v>304</v>
      </c>
      <c r="D103" s="1" t="s">
        <v>262</v>
      </c>
      <c r="E103" s="1" t="s">
        <v>305</v>
      </c>
      <c r="F103" s="1" t="s">
        <v>25</v>
      </c>
      <c r="G103" s="1">
        <v>115900</v>
      </c>
      <c r="H103" s="1" t="s">
        <v>264</v>
      </c>
      <c r="I103" s="1" t="s">
        <v>306</v>
      </c>
      <c r="J103" s="1" t="s">
        <v>307</v>
      </c>
      <c r="K103" s="1" t="s">
        <v>183</v>
      </c>
      <c r="L103" s="1" t="s">
        <v>85</v>
      </c>
      <c r="M103" s="1" t="s">
        <v>31</v>
      </c>
      <c r="N103" s="1" t="s">
        <v>128</v>
      </c>
      <c r="O103" s="1" t="s">
        <v>46</v>
      </c>
      <c r="P103" s="1">
        <v>2500</v>
      </c>
      <c r="Q103" s="1">
        <v>2024</v>
      </c>
      <c r="R103" s="1">
        <v>202412</v>
      </c>
      <c r="S103" s="1" t="s">
        <v>197</v>
      </c>
      <c r="T103" s="1" t="s">
        <v>158</v>
      </c>
    </row>
    <row r="104" spans="1:20" ht="13" x14ac:dyDescent="0.15">
      <c r="A104" s="1" t="s">
        <v>353</v>
      </c>
      <c r="B104" s="1" t="s">
        <v>222</v>
      </c>
      <c r="C104" s="1" t="s">
        <v>283</v>
      </c>
      <c r="D104" s="1" t="s">
        <v>90</v>
      </c>
      <c r="E104" s="1" t="s">
        <v>91</v>
      </c>
      <c r="F104" s="1" t="s">
        <v>25</v>
      </c>
      <c r="G104" s="1">
        <v>27900</v>
      </c>
      <c r="H104" s="1" t="s">
        <v>41</v>
      </c>
      <c r="I104" s="1" t="s">
        <v>284</v>
      </c>
      <c r="J104" s="1" t="s">
        <v>285</v>
      </c>
      <c r="K104" s="1" t="s">
        <v>142</v>
      </c>
      <c r="L104" s="1" t="s">
        <v>85</v>
      </c>
      <c r="M104" s="1" t="s">
        <v>31</v>
      </c>
      <c r="N104" s="1" t="s">
        <v>286</v>
      </c>
      <c r="O104" s="1" t="s">
        <v>54</v>
      </c>
      <c r="P104" s="1">
        <v>13000</v>
      </c>
      <c r="Q104" s="1">
        <v>2023</v>
      </c>
      <c r="R104" s="1">
        <v>202410</v>
      </c>
      <c r="S104" s="1" t="s">
        <v>157</v>
      </c>
      <c r="T104" s="1" t="s">
        <v>158</v>
      </c>
    </row>
    <row r="105" spans="1:20" ht="13" x14ac:dyDescent="0.15">
      <c r="A105" s="1" t="s">
        <v>354</v>
      </c>
      <c r="B105" s="1" t="s">
        <v>212</v>
      </c>
      <c r="C105" s="1" t="s">
        <v>213</v>
      </c>
      <c r="D105" s="1" t="s">
        <v>23</v>
      </c>
      <c r="E105" s="1" t="s">
        <v>73</v>
      </c>
      <c r="F105" s="1" t="s">
        <v>25</v>
      </c>
      <c r="G105" s="1">
        <v>26800</v>
      </c>
      <c r="H105" s="1" t="s">
        <v>41</v>
      </c>
      <c r="I105" s="1" t="s">
        <v>214</v>
      </c>
      <c r="J105" s="1" t="s">
        <v>215</v>
      </c>
      <c r="L105" s="1" t="s">
        <v>52</v>
      </c>
      <c r="M105" s="1" t="s">
        <v>31</v>
      </c>
      <c r="N105" s="1" t="s">
        <v>60</v>
      </c>
      <c r="O105" s="1" t="s">
        <v>54</v>
      </c>
      <c r="P105" s="1">
        <v>22000</v>
      </c>
      <c r="Q105" s="1">
        <v>2020</v>
      </c>
      <c r="R105" s="1">
        <v>202402</v>
      </c>
      <c r="S105" s="1" t="s">
        <v>47</v>
      </c>
      <c r="T105" s="1" t="s">
        <v>35</v>
      </c>
    </row>
    <row r="106" spans="1:20" ht="13" x14ac:dyDescent="0.15">
      <c r="A106" s="1" t="s">
        <v>355</v>
      </c>
      <c r="B106" s="1" t="s">
        <v>255</v>
      </c>
      <c r="C106" s="1" t="s">
        <v>278</v>
      </c>
      <c r="D106" s="1" t="s">
        <v>90</v>
      </c>
      <c r="E106" s="1" t="s">
        <v>91</v>
      </c>
      <c r="F106" s="1" t="s">
        <v>25</v>
      </c>
      <c r="G106" s="1">
        <v>22900</v>
      </c>
      <c r="H106" s="1" t="s">
        <v>26</v>
      </c>
      <c r="I106" s="1" t="s">
        <v>279</v>
      </c>
      <c r="J106" s="1" t="s">
        <v>280</v>
      </c>
      <c r="K106" s="1" t="s">
        <v>67</v>
      </c>
      <c r="L106" s="1" t="s">
        <v>68</v>
      </c>
      <c r="M106" s="1" t="s">
        <v>31</v>
      </c>
      <c r="N106" s="1" t="s">
        <v>281</v>
      </c>
      <c r="O106" s="1" t="s">
        <v>33</v>
      </c>
      <c r="P106" s="1">
        <v>19000</v>
      </c>
      <c r="Q106" s="1">
        <v>2021</v>
      </c>
      <c r="R106" s="1">
        <v>202409</v>
      </c>
      <c r="S106" s="1" t="s">
        <v>134</v>
      </c>
      <c r="T106" s="1" t="s">
        <v>79</v>
      </c>
    </row>
    <row r="107" spans="1:20" ht="13" x14ac:dyDescent="0.15">
      <c r="A107" s="1" t="s">
        <v>356</v>
      </c>
      <c r="B107" s="1" t="s">
        <v>212</v>
      </c>
      <c r="C107" s="1" t="s">
        <v>250</v>
      </c>
      <c r="D107" s="1" t="s">
        <v>90</v>
      </c>
      <c r="E107" s="1" t="s">
        <v>91</v>
      </c>
      <c r="F107" s="1" t="s">
        <v>25</v>
      </c>
      <c r="G107" s="1">
        <v>51200</v>
      </c>
      <c r="H107" s="1" t="s">
        <v>92</v>
      </c>
      <c r="I107" s="1" t="s">
        <v>251</v>
      </c>
      <c r="J107" s="1" t="s">
        <v>252</v>
      </c>
      <c r="K107" s="1" t="s">
        <v>183</v>
      </c>
      <c r="L107" s="1" t="s">
        <v>85</v>
      </c>
      <c r="M107" s="1" t="s">
        <v>31</v>
      </c>
      <c r="N107" s="1" t="s">
        <v>253</v>
      </c>
      <c r="O107" s="1" t="s">
        <v>61</v>
      </c>
      <c r="P107" s="1">
        <v>30000</v>
      </c>
      <c r="Q107" s="1">
        <v>2020</v>
      </c>
      <c r="R107" s="1">
        <v>202407</v>
      </c>
      <c r="S107" s="1" t="s">
        <v>78</v>
      </c>
      <c r="T107" s="1" t="s">
        <v>79</v>
      </c>
    </row>
    <row r="108" spans="1:20" ht="13" x14ac:dyDescent="0.15">
      <c r="A108" s="1" t="s">
        <v>357</v>
      </c>
      <c r="B108" s="1" t="s">
        <v>222</v>
      </c>
      <c r="C108" s="1" t="s">
        <v>223</v>
      </c>
      <c r="D108" s="1" t="s">
        <v>90</v>
      </c>
      <c r="E108" s="1" t="s">
        <v>91</v>
      </c>
      <c r="F108" s="1" t="s">
        <v>25</v>
      </c>
      <c r="G108" s="1">
        <v>41200</v>
      </c>
      <c r="H108" s="1" t="s">
        <v>92</v>
      </c>
      <c r="I108" s="1" t="s">
        <v>236</v>
      </c>
      <c r="J108" s="1" t="s">
        <v>237</v>
      </c>
      <c r="K108" s="1" t="s">
        <v>84</v>
      </c>
      <c r="L108" s="1" t="s">
        <v>85</v>
      </c>
      <c r="M108" s="1" t="s">
        <v>31</v>
      </c>
      <c r="N108" s="1" t="s">
        <v>86</v>
      </c>
      <c r="O108" s="1" t="s">
        <v>46</v>
      </c>
      <c r="P108" s="1">
        <v>29000</v>
      </c>
      <c r="Q108" s="1">
        <v>2020</v>
      </c>
      <c r="R108" s="1">
        <v>202403</v>
      </c>
      <c r="S108" s="1" t="s">
        <v>55</v>
      </c>
      <c r="T108" s="1" t="s">
        <v>35</v>
      </c>
    </row>
    <row r="109" spans="1:20" ht="13" x14ac:dyDescent="0.15">
      <c r="A109" s="1" t="s">
        <v>358</v>
      </c>
      <c r="B109" s="1" t="s">
        <v>21</v>
      </c>
      <c r="C109" s="1" t="s">
        <v>37</v>
      </c>
      <c r="D109" s="1" t="s">
        <v>38</v>
      </c>
      <c r="E109" s="1" t="s">
        <v>81</v>
      </c>
      <c r="F109" s="1" t="s">
        <v>40</v>
      </c>
      <c r="G109" s="1">
        <v>27000</v>
      </c>
      <c r="H109" s="1" t="s">
        <v>41</v>
      </c>
      <c r="I109" s="1" t="s">
        <v>359</v>
      </c>
      <c r="J109" s="1" t="s">
        <v>360</v>
      </c>
      <c r="K109" s="1" t="s">
        <v>248</v>
      </c>
      <c r="L109" s="1" t="s">
        <v>52</v>
      </c>
      <c r="M109" s="1" t="s">
        <v>31</v>
      </c>
      <c r="N109" s="1" t="s">
        <v>190</v>
      </c>
      <c r="O109" s="1" t="s">
        <v>101</v>
      </c>
      <c r="P109" s="1">
        <v>32000</v>
      </c>
      <c r="Q109" s="1">
        <v>2020</v>
      </c>
      <c r="R109" s="1">
        <v>202404</v>
      </c>
      <c r="S109" s="1" t="s">
        <v>361</v>
      </c>
      <c r="T109" s="1" t="s">
        <v>362</v>
      </c>
    </row>
    <row r="110" spans="1:20" ht="13" x14ac:dyDescent="0.15">
      <c r="A110" s="1" t="s">
        <v>363</v>
      </c>
      <c r="B110" s="1" t="s">
        <v>21</v>
      </c>
      <c r="C110" s="1" t="s">
        <v>37</v>
      </c>
      <c r="D110" s="1" t="s">
        <v>38</v>
      </c>
      <c r="E110" s="1" t="s">
        <v>39</v>
      </c>
      <c r="F110" s="1" t="s">
        <v>40</v>
      </c>
      <c r="G110" s="1">
        <v>27000</v>
      </c>
      <c r="H110" s="1" t="s">
        <v>41</v>
      </c>
      <c r="I110" s="1" t="s">
        <v>364</v>
      </c>
      <c r="J110" s="1" t="s">
        <v>365</v>
      </c>
      <c r="K110" s="1" t="s">
        <v>165</v>
      </c>
      <c r="L110" s="1" t="s">
        <v>30</v>
      </c>
      <c r="M110" s="1" t="s">
        <v>166</v>
      </c>
      <c r="O110" s="1" t="s">
        <v>33</v>
      </c>
      <c r="P110" s="1">
        <v>12000</v>
      </c>
      <c r="Q110" s="1">
        <v>2023</v>
      </c>
      <c r="R110" s="1">
        <v>202404</v>
      </c>
      <c r="S110" s="1" t="s">
        <v>361</v>
      </c>
      <c r="T110" s="1" t="s">
        <v>362</v>
      </c>
    </row>
    <row r="111" spans="1:20" ht="13" x14ac:dyDescent="0.15">
      <c r="A111" s="1" t="s">
        <v>366</v>
      </c>
      <c r="B111" s="1" t="s">
        <v>21</v>
      </c>
      <c r="C111" s="1" t="s">
        <v>37</v>
      </c>
      <c r="D111" s="1" t="s">
        <v>23</v>
      </c>
      <c r="E111" s="1" t="s">
        <v>73</v>
      </c>
      <c r="F111" s="1" t="s">
        <v>25</v>
      </c>
      <c r="G111" s="1">
        <v>29500</v>
      </c>
      <c r="H111" s="1" t="s">
        <v>41</v>
      </c>
      <c r="I111" s="1" t="s">
        <v>367</v>
      </c>
      <c r="J111" s="1" t="s">
        <v>368</v>
      </c>
      <c r="K111" s="1" t="s">
        <v>76</v>
      </c>
      <c r="L111" s="1" t="s">
        <v>30</v>
      </c>
      <c r="M111" s="1" t="s">
        <v>39</v>
      </c>
      <c r="N111" s="1" t="s">
        <v>32</v>
      </c>
      <c r="O111" s="1" t="s">
        <v>61</v>
      </c>
      <c r="P111" s="1">
        <v>9000</v>
      </c>
      <c r="Q111" s="1">
        <v>2023</v>
      </c>
      <c r="R111" s="1">
        <v>202404</v>
      </c>
      <c r="S111" s="1" t="s">
        <v>361</v>
      </c>
      <c r="T111" s="1" t="s">
        <v>362</v>
      </c>
    </row>
    <row r="112" spans="1:20" ht="13" x14ac:dyDescent="0.15">
      <c r="A112" s="1" t="s">
        <v>369</v>
      </c>
      <c r="B112" s="1" t="s">
        <v>21</v>
      </c>
      <c r="C112" s="1" t="s">
        <v>37</v>
      </c>
      <c r="D112" s="1" t="s">
        <v>38</v>
      </c>
      <c r="E112" s="1" t="s">
        <v>39</v>
      </c>
      <c r="F112" s="1" t="s">
        <v>40</v>
      </c>
      <c r="G112" s="1">
        <v>27000</v>
      </c>
      <c r="H112" s="1" t="s">
        <v>41</v>
      </c>
      <c r="I112" s="1" t="s">
        <v>370</v>
      </c>
      <c r="J112" s="1" t="s">
        <v>371</v>
      </c>
      <c r="K112" s="1" t="s">
        <v>372</v>
      </c>
      <c r="L112" s="1" t="s">
        <v>68</v>
      </c>
      <c r="M112" s="1" t="s">
        <v>31</v>
      </c>
      <c r="N112" s="1" t="s">
        <v>53</v>
      </c>
      <c r="O112" s="1" t="s">
        <v>33</v>
      </c>
      <c r="P112" s="1">
        <v>20000</v>
      </c>
      <c r="Q112" s="1">
        <v>2022</v>
      </c>
      <c r="R112" s="1">
        <v>202404</v>
      </c>
      <c r="S112" s="1" t="s">
        <v>361</v>
      </c>
      <c r="T112" s="1" t="s">
        <v>362</v>
      </c>
    </row>
    <row r="113" spans="1:20" ht="13" x14ac:dyDescent="0.15">
      <c r="A113" s="1" t="s">
        <v>373</v>
      </c>
      <c r="B113" s="1" t="s">
        <v>21</v>
      </c>
      <c r="C113" s="1" t="s">
        <v>37</v>
      </c>
      <c r="D113" s="1" t="s">
        <v>38</v>
      </c>
      <c r="E113" s="1" t="s">
        <v>39</v>
      </c>
      <c r="F113" s="1" t="s">
        <v>40</v>
      </c>
      <c r="G113" s="1">
        <v>27000</v>
      </c>
      <c r="H113" s="1" t="s">
        <v>41</v>
      </c>
      <c r="I113" s="1" t="s">
        <v>374</v>
      </c>
      <c r="J113" s="1" t="s">
        <v>237</v>
      </c>
      <c r="K113" s="1" t="s">
        <v>248</v>
      </c>
      <c r="L113" s="1" t="s">
        <v>52</v>
      </c>
      <c r="M113" s="1" t="s">
        <v>31</v>
      </c>
      <c r="N113" s="1" t="s">
        <v>156</v>
      </c>
      <c r="O113" s="1" t="s">
        <v>46</v>
      </c>
      <c r="P113" s="1">
        <v>28000</v>
      </c>
      <c r="Q113" s="1">
        <v>2020</v>
      </c>
      <c r="R113" s="1">
        <v>202405</v>
      </c>
      <c r="S113" s="1" t="s">
        <v>375</v>
      </c>
      <c r="T113" s="1" t="s">
        <v>362</v>
      </c>
    </row>
    <row r="114" spans="1:20" ht="13" x14ac:dyDescent="0.15">
      <c r="A114" s="1" t="s">
        <v>376</v>
      </c>
      <c r="B114" s="1" t="s">
        <v>21</v>
      </c>
      <c r="C114" s="1" t="s">
        <v>103</v>
      </c>
      <c r="D114" s="1" t="s">
        <v>90</v>
      </c>
      <c r="E114" s="1" t="s">
        <v>105</v>
      </c>
      <c r="F114" s="1" t="s">
        <v>25</v>
      </c>
      <c r="G114" s="1">
        <v>35800</v>
      </c>
      <c r="H114" s="1" t="s">
        <v>41</v>
      </c>
      <c r="I114" s="1" t="s">
        <v>377</v>
      </c>
      <c r="J114" s="1" t="s">
        <v>378</v>
      </c>
      <c r="K114" s="1" t="s">
        <v>29</v>
      </c>
      <c r="L114" s="1" t="s">
        <v>30</v>
      </c>
      <c r="M114" s="1" t="s">
        <v>31</v>
      </c>
      <c r="N114" s="1" t="s">
        <v>60</v>
      </c>
      <c r="O114" s="1" t="s">
        <v>54</v>
      </c>
      <c r="P114" s="1">
        <v>11000</v>
      </c>
      <c r="Q114" s="1">
        <v>2023</v>
      </c>
      <c r="R114" s="1">
        <v>202405</v>
      </c>
      <c r="S114" s="1" t="s">
        <v>375</v>
      </c>
      <c r="T114" s="1" t="s">
        <v>362</v>
      </c>
    </row>
    <row r="115" spans="1:20" ht="13" x14ac:dyDescent="0.15">
      <c r="A115" s="1" t="s">
        <v>379</v>
      </c>
      <c r="B115" s="1" t="s">
        <v>21</v>
      </c>
      <c r="C115" s="1" t="s">
        <v>37</v>
      </c>
      <c r="D115" s="1" t="s">
        <v>38</v>
      </c>
      <c r="E115" s="1" t="s">
        <v>39</v>
      </c>
      <c r="F115" s="1" t="s">
        <v>40</v>
      </c>
      <c r="G115" s="1">
        <v>27000</v>
      </c>
      <c r="H115" s="1" t="s">
        <v>41</v>
      </c>
      <c r="I115" s="1" t="s">
        <v>380</v>
      </c>
      <c r="J115" s="1" t="s">
        <v>381</v>
      </c>
      <c r="K115" s="1" t="s">
        <v>382</v>
      </c>
      <c r="L115" s="1" t="s">
        <v>85</v>
      </c>
      <c r="M115" s="1" t="s">
        <v>31</v>
      </c>
      <c r="N115" s="1" t="s">
        <v>60</v>
      </c>
      <c r="O115" s="1" t="s">
        <v>61</v>
      </c>
      <c r="P115" s="1">
        <v>24000</v>
      </c>
      <c r="Q115" s="1">
        <v>2021</v>
      </c>
      <c r="R115" s="1">
        <v>202405</v>
      </c>
      <c r="S115" s="1" t="s">
        <v>375</v>
      </c>
      <c r="T115" s="1" t="s">
        <v>362</v>
      </c>
    </row>
    <row r="116" spans="1:20" ht="13" x14ac:dyDescent="0.15">
      <c r="A116" s="1" t="s">
        <v>383</v>
      </c>
      <c r="B116" s="1" t="s">
        <v>21</v>
      </c>
      <c r="C116" s="1" t="s">
        <v>103</v>
      </c>
      <c r="D116" s="1" t="s">
        <v>90</v>
      </c>
      <c r="E116" s="1" t="s">
        <v>105</v>
      </c>
      <c r="F116" s="1" t="s">
        <v>25</v>
      </c>
      <c r="G116" s="1">
        <v>32000</v>
      </c>
      <c r="H116" s="1" t="s">
        <v>41</v>
      </c>
      <c r="I116" s="1" t="s">
        <v>384</v>
      </c>
      <c r="J116" s="1" t="s">
        <v>385</v>
      </c>
      <c r="K116" s="1" t="s">
        <v>248</v>
      </c>
      <c r="L116" s="1" t="s">
        <v>52</v>
      </c>
      <c r="M116" s="1" t="s">
        <v>31</v>
      </c>
      <c r="N116" s="1" t="s">
        <v>156</v>
      </c>
      <c r="O116" s="1" t="s">
        <v>54</v>
      </c>
      <c r="P116" s="1">
        <v>21000</v>
      </c>
      <c r="Q116" s="1">
        <v>2021</v>
      </c>
      <c r="R116" s="1">
        <v>202405</v>
      </c>
      <c r="S116" s="1" t="s">
        <v>375</v>
      </c>
      <c r="T116" s="1" t="s">
        <v>362</v>
      </c>
    </row>
    <row r="117" spans="1:20" ht="13" x14ac:dyDescent="0.15">
      <c r="A117" s="1" t="s">
        <v>386</v>
      </c>
      <c r="B117" s="1" t="s">
        <v>21</v>
      </c>
      <c r="C117" s="1" t="s">
        <v>110</v>
      </c>
      <c r="D117" s="1" t="s">
        <v>90</v>
      </c>
      <c r="E117" s="1" t="s">
        <v>91</v>
      </c>
      <c r="F117" s="1" t="s">
        <v>25</v>
      </c>
      <c r="G117" s="1">
        <v>44800</v>
      </c>
      <c r="H117" s="1" t="s">
        <v>92</v>
      </c>
      <c r="I117" s="1" t="s">
        <v>387</v>
      </c>
      <c r="J117" s="1" t="s">
        <v>388</v>
      </c>
      <c r="K117" s="1" t="s">
        <v>29</v>
      </c>
      <c r="L117" s="1" t="s">
        <v>30</v>
      </c>
      <c r="M117" s="1" t="s">
        <v>31</v>
      </c>
      <c r="N117" s="1" t="s">
        <v>77</v>
      </c>
      <c r="O117" s="1" t="s">
        <v>101</v>
      </c>
      <c r="P117" s="1">
        <v>18000</v>
      </c>
      <c r="Q117" s="1">
        <v>2022</v>
      </c>
      <c r="R117" s="1">
        <v>202406</v>
      </c>
      <c r="S117" s="1" t="s">
        <v>389</v>
      </c>
      <c r="T117" s="1" t="s">
        <v>362</v>
      </c>
    </row>
    <row r="118" spans="1:20" ht="13" x14ac:dyDescent="0.15">
      <c r="A118" s="1" t="s">
        <v>390</v>
      </c>
      <c r="B118" s="1" t="s">
        <v>21</v>
      </c>
      <c r="C118" s="1" t="s">
        <v>110</v>
      </c>
      <c r="D118" s="1" t="s">
        <v>90</v>
      </c>
      <c r="E118" s="1" t="s">
        <v>105</v>
      </c>
      <c r="F118" s="1" t="s">
        <v>111</v>
      </c>
      <c r="G118" s="1">
        <v>43000</v>
      </c>
      <c r="H118" s="1" t="s">
        <v>92</v>
      </c>
      <c r="I118" s="1" t="s">
        <v>391</v>
      </c>
      <c r="J118" s="1" t="s">
        <v>392</v>
      </c>
      <c r="K118" s="1" t="s">
        <v>142</v>
      </c>
      <c r="L118" s="1" t="s">
        <v>85</v>
      </c>
      <c r="M118" s="1" t="s">
        <v>31</v>
      </c>
      <c r="N118" s="1" t="s">
        <v>45</v>
      </c>
      <c r="O118" s="1" t="s">
        <v>54</v>
      </c>
      <c r="P118" s="1">
        <v>20000</v>
      </c>
      <c r="Q118" s="1">
        <v>2021</v>
      </c>
      <c r="R118" s="1">
        <v>202406</v>
      </c>
      <c r="S118" s="1" t="s">
        <v>389</v>
      </c>
      <c r="T118" s="1" t="s">
        <v>362</v>
      </c>
    </row>
    <row r="119" spans="1:20" ht="13" x14ac:dyDescent="0.15">
      <c r="A119" s="1" t="s">
        <v>393</v>
      </c>
      <c r="B119" s="1" t="s">
        <v>21</v>
      </c>
      <c r="C119" s="1" t="s">
        <v>103</v>
      </c>
      <c r="D119" s="1" t="s">
        <v>90</v>
      </c>
      <c r="E119" s="1" t="s">
        <v>105</v>
      </c>
      <c r="F119" s="1" t="s">
        <v>25</v>
      </c>
      <c r="G119" s="1">
        <v>32000</v>
      </c>
      <c r="H119" s="1" t="s">
        <v>41</v>
      </c>
      <c r="I119" s="1" t="s">
        <v>394</v>
      </c>
      <c r="J119" s="1" t="s">
        <v>395</v>
      </c>
      <c r="K119" s="1" t="s">
        <v>248</v>
      </c>
      <c r="L119" s="1" t="s">
        <v>52</v>
      </c>
      <c r="M119" s="1" t="s">
        <v>31</v>
      </c>
      <c r="N119" s="1" t="s">
        <v>156</v>
      </c>
      <c r="O119" s="1" t="s">
        <v>46</v>
      </c>
      <c r="P119" s="1">
        <v>15000</v>
      </c>
      <c r="Q119" s="1">
        <v>2022</v>
      </c>
      <c r="R119" s="1">
        <v>202406</v>
      </c>
      <c r="S119" s="1" t="s">
        <v>389</v>
      </c>
      <c r="T119" s="1" t="s">
        <v>362</v>
      </c>
    </row>
    <row r="120" spans="1:20" ht="13" x14ac:dyDescent="0.15">
      <c r="A120" s="1" t="s">
        <v>396</v>
      </c>
      <c r="B120" s="1" t="s">
        <v>21</v>
      </c>
      <c r="C120" s="1" t="s">
        <v>397</v>
      </c>
      <c r="D120" s="1" t="s">
        <v>398</v>
      </c>
      <c r="E120" s="1" t="s">
        <v>399</v>
      </c>
      <c r="F120" s="1" t="s">
        <v>25</v>
      </c>
      <c r="G120" s="1">
        <v>33500</v>
      </c>
      <c r="H120" s="1" t="s">
        <v>41</v>
      </c>
      <c r="I120" s="1" t="s">
        <v>400</v>
      </c>
      <c r="J120" s="1" t="s">
        <v>401</v>
      </c>
      <c r="K120" s="1" t="s">
        <v>29</v>
      </c>
      <c r="L120" s="1" t="s">
        <v>30</v>
      </c>
      <c r="M120" s="1" t="s">
        <v>31</v>
      </c>
      <c r="N120" s="1" t="s">
        <v>133</v>
      </c>
      <c r="O120" s="1" t="s">
        <v>101</v>
      </c>
      <c r="P120" s="1">
        <v>21000</v>
      </c>
      <c r="Q120" s="1">
        <v>2020</v>
      </c>
      <c r="R120" s="1">
        <v>202406</v>
      </c>
      <c r="S120" s="1" t="s">
        <v>389</v>
      </c>
      <c r="T120" s="1" t="s">
        <v>362</v>
      </c>
    </row>
    <row r="121" spans="1:20" ht="13" x14ac:dyDescent="0.15">
      <c r="A121" s="1" t="s">
        <v>402</v>
      </c>
      <c r="B121" s="1" t="s">
        <v>21</v>
      </c>
      <c r="C121" s="1" t="s">
        <v>110</v>
      </c>
      <c r="D121" s="1" t="s">
        <v>90</v>
      </c>
      <c r="E121" s="1" t="s">
        <v>105</v>
      </c>
      <c r="F121" s="1" t="s">
        <v>111</v>
      </c>
      <c r="G121" s="1">
        <v>43000</v>
      </c>
      <c r="H121" s="1" t="s">
        <v>92</v>
      </c>
      <c r="I121" s="1" t="s">
        <v>403</v>
      </c>
      <c r="J121" s="1" t="s">
        <v>404</v>
      </c>
      <c r="K121" s="1" t="s">
        <v>165</v>
      </c>
      <c r="L121" s="1" t="s">
        <v>30</v>
      </c>
      <c r="M121" s="1" t="s">
        <v>166</v>
      </c>
      <c r="O121" s="1" t="s">
        <v>54</v>
      </c>
      <c r="P121" s="1">
        <v>1000</v>
      </c>
      <c r="Q121" s="1">
        <v>2024</v>
      </c>
      <c r="R121" s="1">
        <v>202406</v>
      </c>
      <c r="S121" s="1" t="s">
        <v>389</v>
      </c>
      <c r="T121" s="1" t="s">
        <v>362</v>
      </c>
    </row>
    <row r="122" spans="1:20" ht="13" x14ac:dyDescent="0.15">
      <c r="A122" s="1" t="s">
        <v>405</v>
      </c>
      <c r="B122" s="1" t="s">
        <v>207</v>
      </c>
      <c r="C122" s="1" t="s">
        <v>406</v>
      </c>
      <c r="D122" s="1" t="s">
        <v>23</v>
      </c>
      <c r="E122" s="1" t="s">
        <v>73</v>
      </c>
      <c r="F122" s="1" t="s">
        <v>25</v>
      </c>
      <c r="G122" s="1">
        <v>29800</v>
      </c>
      <c r="H122" s="1" t="s">
        <v>41</v>
      </c>
      <c r="I122" s="1" t="s">
        <v>407</v>
      </c>
      <c r="J122" s="1" t="s">
        <v>408</v>
      </c>
      <c r="K122" s="1" t="s">
        <v>147</v>
      </c>
      <c r="L122" s="1" t="s">
        <v>52</v>
      </c>
      <c r="M122" s="1" t="s">
        <v>31</v>
      </c>
      <c r="N122" s="1" t="s">
        <v>53</v>
      </c>
      <c r="O122" s="1" t="s">
        <v>46</v>
      </c>
      <c r="P122" s="1">
        <v>22000</v>
      </c>
      <c r="Q122" s="1">
        <v>2021</v>
      </c>
      <c r="R122" s="1">
        <v>202404</v>
      </c>
      <c r="S122" s="1" t="s">
        <v>361</v>
      </c>
      <c r="T122" s="1" t="s">
        <v>362</v>
      </c>
    </row>
    <row r="123" spans="1:20" ht="13" x14ac:dyDescent="0.15">
      <c r="A123" s="1" t="s">
        <v>409</v>
      </c>
      <c r="B123" s="1" t="s">
        <v>227</v>
      </c>
      <c r="C123" s="1" t="s">
        <v>410</v>
      </c>
      <c r="D123" s="1" t="s">
        <v>90</v>
      </c>
      <c r="E123" s="1" t="s">
        <v>91</v>
      </c>
      <c r="F123" s="1" t="s">
        <v>111</v>
      </c>
      <c r="G123" s="1">
        <v>10435</v>
      </c>
      <c r="H123" s="1" t="s">
        <v>92</v>
      </c>
      <c r="I123" s="1" t="s">
        <v>411</v>
      </c>
      <c r="J123" s="1" t="s">
        <v>66</v>
      </c>
      <c r="K123" s="1" t="s">
        <v>165</v>
      </c>
      <c r="L123" s="1" t="s">
        <v>30</v>
      </c>
      <c r="M123" s="1" t="s">
        <v>166</v>
      </c>
      <c r="O123" s="1" t="s">
        <v>101</v>
      </c>
      <c r="P123" s="1">
        <v>6000</v>
      </c>
      <c r="Q123" s="1">
        <v>2024</v>
      </c>
      <c r="R123" s="1">
        <v>202405</v>
      </c>
      <c r="S123" s="1" t="s">
        <v>375</v>
      </c>
      <c r="T123" s="1" t="s">
        <v>362</v>
      </c>
    </row>
    <row r="124" spans="1:20" ht="13" x14ac:dyDescent="0.15">
      <c r="A124" s="1" t="s">
        <v>412</v>
      </c>
      <c r="B124" s="1" t="s">
        <v>21</v>
      </c>
      <c r="C124" s="1" t="s">
        <v>37</v>
      </c>
      <c r="D124" s="1" t="s">
        <v>38</v>
      </c>
      <c r="E124" s="1" t="s">
        <v>39</v>
      </c>
      <c r="F124" s="1" t="s">
        <v>40</v>
      </c>
      <c r="G124" s="1">
        <v>27000</v>
      </c>
      <c r="H124" s="1" t="s">
        <v>41</v>
      </c>
      <c r="I124" s="1" t="s">
        <v>359</v>
      </c>
      <c r="J124" s="1" t="s">
        <v>360</v>
      </c>
      <c r="K124" s="1" t="s">
        <v>248</v>
      </c>
      <c r="L124" s="1" t="s">
        <v>52</v>
      </c>
      <c r="M124" s="1" t="s">
        <v>31</v>
      </c>
      <c r="N124" s="1" t="s">
        <v>190</v>
      </c>
      <c r="O124" s="1" t="s">
        <v>101</v>
      </c>
      <c r="P124" s="1">
        <v>32000</v>
      </c>
      <c r="Q124" s="1">
        <v>2020</v>
      </c>
      <c r="R124" s="1">
        <v>202404</v>
      </c>
      <c r="S124" s="1" t="s">
        <v>361</v>
      </c>
      <c r="T124" s="1" t="s">
        <v>362</v>
      </c>
    </row>
    <row r="125" spans="1:20" ht="13" x14ac:dyDescent="0.15">
      <c r="A125" s="1" t="s">
        <v>413</v>
      </c>
      <c r="B125" s="1" t="s">
        <v>21</v>
      </c>
      <c r="C125" s="1" t="s">
        <v>37</v>
      </c>
      <c r="D125" s="1" t="s">
        <v>38</v>
      </c>
      <c r="E125" s="1" t="s">
        <v>39</v>
      </c>
      <c r="F125" s="1" t="s">
        <v>40</v>
      </c>
      <c r="G125" s="1">
        <v>27000</v>
      </c>
      <c r="H125" s="1" t="s">
        <v>41</v>
      </c>
      <c r="I125" s="1" t="s">
        <v>364</v>
      </c>
      <c r="J125" s="1" t="s">
        <v>365</v>
      </c>
      <c r="K125" s="1" t="s">
        <v>165</v>
      </c>
      <c r="L125" s="1" t="s">
        <v>30</v>
      </c>
      <c r="M125" s="1" t="s">
        <v>166</v>
      </c>
      <c r="O125" s="1" t="s">
        <v>33</v>
      </c>
      <c r="P125" s="1">
        <v>12000</v>
      </c>
      <c r="Q125" s="1">
        <v>2023</v>
      </c>
      <c r="R125" s="1">
        <v>202404</v>
      </c>
      <c r="S125" s="1" t="s">
        <v>361</v>
      </c>
      <c r="T125" s="1" t="s">
        <v>362</v>
      </c>
    </row>
    <row r="126" spans="1:20" ht="13" x14ac:dyDescent="0.15">
      <c r="A126" s="1" t="s">
        <v>414</v>
      </c>
      <c r="B126" s="1" t="s">
        <v>21</v>
      </c>
      <c r="C126" s="1" t="s">
        <v>37</v>
      </c>
      <c r="D126" s="1" t="s">
        <v>23</v>
      </c>
      <c r="E126" s="1" t="s">
        <v>73</v>
      </c>
      <c r="F126" s="1" t="s">
        <v>25</v>
      </c>
      <c r="G126" s="1">
        <v>29500</v>
      </c>
      <c r="H126" s="1" t="s">
        <v>41</v>
      </c>
      <c r="I126" s="1" t="s">
        <v>367</v>
      </c>
      <c r="J126" s="1" t="s">
        <v>368</v>
      </c>
      <c r="K126" s="1" t="s">
        <v>76</v>
      </c>
      <c r="L126" s="1" t="s">
        <v>30</v>
      </c>
      <c r="M126" s="1" t="s">
        <v>39</v>
      </c>
      <c r="N126" s="1" t="s">
        <v>32</v>
      </c>
      <c r="O126" s="1" t="s">
        <v>61</v>
      </c>
      <c r="P126" s="1">
        <v>9000</v>
      </c>
      <c r="Q126" s="1">
        <v>2023</v>
      </c>
      <c r="R126" s="1">
        <v>202404</v>
      </c>
      <c r="S126" s="1" t="s">
        <v>361</v>
      </c>
      <c r="T126" s="1" t="s">
        <v>362</v>
      </c>
    </row>
    <row r="127" spans="1:20" ht="13" x14ac:dyDescent="0.15">
      <c r="A127" s="1" t="s">
        <v>415</v>
      </c>
      <c r="B127" s="1" t="s">
        <v>21</v>
      </c>
      <c r="C127" s="1" t="s">
        <v>37</v>
      </c>
      <c r="D127" s="1" t="s">
        <v>38</v>
      </c>
      <c r="E127" s="1" t="s">
        <v>81</v>
      </c>
      <c r="F127" s="1" t="s">
        <v>40</v>
      </c>
      <c r="G127" s="1">
        <v>27000</v>
      </c>
      <c r="H127" s="1" t="s">
        <v>41</v>
      </c>
      <c r="I127" s="1" t="s">
        <v>370</v>
      </c>
      <c r="J127" s="1" t="s">
        <v>371</v>
      </c>
      <c r="K127" s="1" t="s">
        <v>372</v>
      </c>
      <c r="L127" s="1" t="s">
        <v>68</v>
      </c>
      <c r="M127" s="1" t="s">
        <v>31</v>
      </c>
      <c r="N127" s="1" t="s">
        <v>53</v>
      </c>
      <c r="O127" s="1" t="s">
        <v>33</v>
      </c>
      <c r="P127" s="1">
        <v>20000</v>
      </c>
      <c r="Q127" s="1">
        <v>2022</v>
      </c>
      <c r="R127" s="1">
        <v>202404</v>
      </c>
      <c r="S127" s="1" t="s">
        <v>361</v>
      </c>
      <c r="T127" s="1" t="s">
        <v>362</v>
      </c>
    </row>
    <row r="128" spans="1:20" ht="13" x14ac:dyDescent="0.15">
      <c r="A128" s="1" t="s">
        <v>416</v>
      </c>
      <c r="B128" s="1" t="s">
        <v>21</v>
      </c>
      <c r="C128" s="1" t="s">
        <v>37</v>
      </c>
      <c r="D128" s="1" t="s">
        <v>38</v>
      </c>
      <c r="E128" s="1" t="s">
        <v>39</v>
      </c>
      <c r="F128" s="1" t="s">
        <v>40</v>
      </c>
      <c r="G128" s="1">
        <v>27000</v>
      </c>
      <c r="H128" s="1" t="s">
        <v>41</v>
      </c>
      <c r="I128" s="1" t="s">
        <v>374</v>
      </c>
      <c r="J128" s="1" t="s">
        <v>237</v>
      </c>
      <c r="K128" s="1" t="s">
        <v>248</v>
      </c>
      <c r="L128" s="1" t="s">
        <v>52</v>
      </c>
      <c r="M128" s="1" t="s">
        <v>31</v>
      </c>
      <c r="N128" s="1" t="s">
        <v>156</v>
      </c>
      <c r="O128" s="1" t="s">
        <v>46</v>
      </c>
      <c r="P128" s="1">
        <v>28000</v>
      </c>
      <c r="Q128" s="1">
        <v>2020</v>
      </c>
      <c r="R128" s="1">
        <v>202405</v>
      </c>
      <c r="S128" s="1" t="s">
        <v>375</v>
      </c>
      <c r="T128" s="1" t="s">
        <v>362</v>
      </c>
    </row>
    <row r="129" spans="1:20" ht="13" x14ac:dyDescent="0.15">
      <c r="A129" s="1" t="s">
        <v>417</v>
      </c>
      <c r="B129" s="1" t="s">
        <v>21</v>
      </c>
      <c r="C129" s="1" t="s">
        <v>103</v>
      </c>
      <c r="D129" s="1" t="s">
        <v>90</v>
      </c>
      <c r="E129" s="1" t="s">
        <v>105</v>
      </c>
      <c r="F129" s="1" t="s">
        <v>25</v>
      </c>
      <c r="G129" s="1">
        <v>35800</v>
      </c>
      <c r="H129" s="1" t="s">
        <v>41</v>
      </c>
      <c r="I129" s="1" t="s">
        <v>377</v>
      </c>
      <c r="J129" s="1" t="s">
        <v>378</v>
      </c>
      <c r="K129" s="1" t="s">
        <v>29</v>
      </c>
      <c r="L129" s="1" t="s">
        <v>30</v>
      </c>
      <c r="M129" s="1" t="s">
        <v>31</v>
      </c>
      <c r="N129" s="1" t="s">
        <v>60</v>
      </c>
      <c r="O129" s="1" t="s">
        <v>54</v>
      </c>
      <c r="P129" s="1">
        <v>11000</v>
      </c>
      <c r="Q129" s="1">
        <v>2023</v>
      </c>
      <c r="R129" s="1">
        <v>202405</v>
      </c>
      <c r="S129" s="1" t="s">
        <v>375</v>
      </c>
      <c r="T129" s="1" t="s">
        <v>362</v>
      </c>
    </row>
    <row r="130" spans="1:20" ht="13" x14ac:dyDescent="0.15">
      <c r="A130" s="1" t="s">
        <v>418</v>
      </c>
      <c r="B130" s="1" t="s">
        <v>21</v>
      </c>
      <c r="C130" s="1" t="s">
        <v>37</v>
      </c>
      <c r="D130" s="1" t="s">
        <v>38</v>
      </c>
      <c r="E130" s="1" t="s">
        <v>39</v>
      </c>
      <c r="F130" s="1" t="s">
        <v>40</v>
      </c>
      <c r="G130" s="1">
        <v>27000</v>
      </c>
      <c r="H130" s="1" t="s">
        <v>41</v>
      </c>
      <c r="I130" s="1" t="s">
        <v>380</v>
      </c>
      <c r="J130" s="1" t="s">
        <v>381</v>
      </c>
      <c r="K130" s="1" t="s">
        <v>382</v>
      </c>
      <c r="L130" s="1" t="s">
        <v>85</v>
      </c>
      <c r="M130" s="1" t="s">
        <v>31</v>
      </c>
      <c r="N130" s="1" t="s">
        <v>60</v>
      </c>
      <c r="O130" s="1" t="s">
        <v>61</v>
      </c>
      <c r="P130" s="1">
        <v>24000</v>
      </c>
      <c r="Q130" s="1">
        <v>2021</v>
      </c>
      <c r="R130" s="1">
        <v>202405</v>
      </c>
      <c r="S130" s="1" t="s">
        <v>375</v>
      </c>
      <c r="T130" s="1" t="s">
        <v>362</v>
      </c>
    </row>
    <row r="131" spans="1:20" ht="13" x14ac:dyDescent="0.15">
      <c r="A131" s="1" t="s">
        <v>419</v>
      </c>
      <c r="B131" s="1" t="s">
        <v>21</v>
      </c>
      <c r="C131" s="1" t="s">
        <v>103</v>
      </c>
      <c r="D131" s="1" t="s">
        <v>90</v>
      </c>
      <c r="E131" s="1" t="s">
        <v>105</v>
      </c>
      <c r="F131" s="1" t="s">
        <v>25</v>
      </c>
      <c r="G131" s="1">
        <v>32000</v>
      </c>
      <c r="H131" s="1" t="s">
        <v>41</v>
      </c>
      <c r="I131" s="1" t="s">
        <v>384</v>
      </c>
      <c r="J131" s="1" t="s">
        <v>385</v>
      </c>
      <c r="K131" s="1" t="s">
        <v>248</v>
      </c>
      <c r="L131" s="1" t="s">
        <v>52</v>
      </c>
      <c r="M131" s="1" t="s">
        <v>31</v>
      </c>
      <c r="N131" s="1" t="s">
        <v>156</v>
      </c>
      <c r="O131" s="1" t="s">
        <v>54</v>
      </c>
      <c r="P131" s="1">
        <v>21000</v>
      </c>
      <c r="Q131" s="1">
        <v>2021</v>
      </c>
      <c r="R131" s="1">
        <v>202405</v>
      </c>
      <c r="S131" s="1" t="s">
        <v>375</v>
      </c>
      <c r="T131" s="1" t="s">
        <v>362</v>
      </c>
    </row>
    <row r="132" spans="1:20" ht="13" x14ac:dyDescent="0.15">
      <c r="A132" s="1" t="s">
        <v>420</v>
      </c>
      <c r="B132" s="1" t="s">
        <v>21</v>
      </c>
      <c r="C132" s="1" t="s">
        <v>110</v>
      </c>
      <c r="D132" s="1" t="s">
        <v>90</v>
      </c>
      <c r="E132" s="1" t="s">
        <v>91</v>
      </c>
      <c r="F132" s="1" t="s">
        <v>25</v>
      </c>
      <c r="G132" s="1">
        <v>44800</v>
      </c>
      <c r="H132" s="1" t="s">
        <v>92</v>
      </c>
      <c r="I132" s="1" t="s">
        <v>387</v>
      </c>
      <c r="J132" s="1" t="s">
        <v>388</v>
      </c>
      <c r="K132" s="1" t="s">
        <v>29</v>
      </c>
      <c r="L132" s="1" t="s">
        <v>30</v>
      </c>
      <c r="M132" s="1" t="s">
        <v>31</v>
      </c>
      <c r="N132" s="1" t="s">
        <v>77</v>
      </c>
      <c r="O132" s="1" t="s">
        <v>101</v>
      </c>
      <c r="P132" s="1">
        <v>18000</v>
      </c>
      <c r="Q132" s="1">
        <v>2022</v>
      </c>
      <c r="R132" s="1">
        <v>202406</v>
      </c>
      <c r="S132" s="1" t="s">
        <v>389</v>
      </c>
      <c r="T132" s="1" t="s">
        <v>362</v>
      </c>
    </row>
    <row r="133" spans="1:20" ht="13" x14ac:dyDescent="0.15">
      <c r="A133" s="1" t="s">
        <v>421</v>
      </c>
      <c r="B133" s="1" t="s">
        <v>21</v>
      </c>
      <c r="C133" s="1" t="s">
        <v>110</v>
      </c>
      <c r="D133" s="1" t="s">
        <v>90</v>
      </c>
      <c r="E133" s="1" t="s">
        <v>105</v>
      </c>
      <c r="F133" s="1" t="s">
        <v>111</v>
      </c>
      <c r="G133" s="1">
        <v>43000</v>
      </c>
      <c r="H133" s="1" t="s">
        <v>92</v>
      </c>
      <c r="I133" s="1" t="s">
        <v>391</v>
      </c>
      <c r="J133" s="1" t="s">
        <v>392</v>
      </c>
      <c r="K133" s="1" t="s">
        <v>142</v>
      </c>
      <c r="L133" s="1" t="s">
        <v>85</v>
      </c>
      <c r="M133" s="1" t="s">
        <v>31</v>
      </c>
      <c r="N133" s="1" t="s">
        <v>45</v>
      </c>
      <c r="O133" s="1" t="s">
        <v>54</v>
      </c>
      <c r="P133" s="1">
        <v>20000</v>
      </c>
      <c r="Q133" s="1">
        <v>2021</v>
      </c>
      <c r="R133" s="1">
        <v>202406</v>
      </c>
      <c r="S133" s="1" t="s">
        <v>389</v>
      </c>
      <c r="T133" s="1" t="s">
        <v>362</v>
      </c>
    </row>
    <row r="134" spans="1:20" ht="13" x14ac:dyDescent="0.15">
      <c r="A134" s="1" t="s">
        <v>422</v>
      </c>
      <c r="B134" s="1" t="s">
        <v>21</v>
      </c>
      <c r="C134" s="1" t="s">
        <v>103</v>
      </c>
      <c r="D134" s="1" t="s">
        <v>90</v>
      </c>
      <c r="E134" s="1" t="s">
        <v>105</v>
      </c>
      <c r="F134" s="1" t="s">
        <v>25</v>
      </c>
      <c r="G134" s="1">
        <v>32000</v>
      </c>
      <c r="H134" s="1" t="s">
        <v>41</v>
      </c>
      <c r="I134" s="1" t="s">
        <v>394</v>
      </c>
      <c r="J134" s="1" t="s">
        <v>395</v>
      </c>
      <c r="K134" s="1" t="s">
        <v>248</v>
      </c>
      <c r="L134" s="1" t="s">
        <v>52</v>
      </c>
      <c r="M134" s="1" t="s">
        <v>31</v>
      </c>
      <c r="N134" s="1" t="s">
        <v>156</v>
      </c>
      <c r="O134" s="1" t="s">
        <v>46</v>
      </c>
      <c r="P134" s="1">
        <v>15000</v>
      </c>
      <c r="Q134" s="1">
        <v>2022</v>
      </c>
      <c r="R134" s="1">
        <v>202406</v>
      </c>
      <c r="S134" s="1" t="s">
        <v>389</v>
      </c>
      <c r="T134" s="1" t="s">
        <v>362</v>
      </c>
    </row>
    <row r="135" spans="1:20" ht="13" x14ac:dyDescent="0.15">
      <c r="A135" s="1" t="s">
        <v>423</v>
      </c>
      <c r="B135" s="1" t="s">
        <v>21</v>
      </c>
      <c r="C135" s="1" t="s">
        <v>397</v>
      </c>
      <c r="D135" s="1" t="s">
        <v>398</v>
      </c>
      <c r="E135" s="1" t="s">
        <v>399</v>
      </c>
      <c r="F135" s="1" t="s">
        <v>25</v>
      </c>
      <c r="G135" s="1">
        <v>33500</v>
      </c>
      <c r="H135" s="1" t="s">
        <v>41</v>
      </c>
      <c r="I135" s="1" t="s">
        <v>400</v>
      </c>
      <c r="J135" s="1" t="s">
        <v>401</v>
      </c>
      <c r="K135" s="1" t="s">
        <v>29</v>
      </c>
      <c r="L135" s="1" t="s">
        <v>30</v>
      </c>
      <c r="M135" s="1" t="s">
        <v>31</v>
      </c>
      <c r="N135" s="1" t="s">
        <v>133</v>
      </c>
      <c r="O135" s="1" t="s">
        <v>101</v>
      </c>
      <c r="P135" s="1">
        <v>21000</v>
      </c>
      <c r="Q135" s="1">
        <v>2020</v>
      </c>
      <c r="R135" s="1">
        <v>202406</v>
      </c>
      <c r="S135" s="1" t="s">
        <v>389</v>
      </c>
      <c r="T135" s="1" t="s">
        <v>362</v>
      </c>
    </row>
    <row r="136" spans="1:20" ht="13" x14ac:dyDescent="0.15">
      <c r="A136" s="1" t="s">
        <v>424</v>
      </c>
      <c r="B136" s="1" t="s">
        <v>21</v>
      </c>
      <c r="C136" s="1" t="s">
        <v>110</v>
      </c>
      <c r="D136" s="1" t="s">
        <v>90</v>
      </c>
      <c r="E136" s="1" t="s">
        <v>105</v>
      </c>
      <c r="F136" s="1" t="s">
        <v>111</v>
      </c>
      <c r="G136" s="1">
        <v>43000</v>
      </c>
      <c r="H136" s="1" t="s">
        <v>92</v>
      </c>
      <c r="I136" s="1" t="s">
        <v>403</v>
      </c>
      <c r="J136" s="1" t="s">
        <v>404</v>
      </c>
      <c r="K136" s="1" t="s">
        <v>165</v>
      </c>
      <c r="L136" s="1" t="s">
        <v>30</v>
      </c>
      <c r="M136" s="1" t="s">
        <v>166</v>
      </c>
      <c r="O136" s="1" t="s">
        <v>54</v>
      </c>
      <c r="P136" s="1">
        <v>1000</v>
      </c>
      <c r="Q136" s="1">
        <v>2024</v>
      </c>
      <c r="R136" s="1">
        <v>202406</v>
      </c>
      <c r="S136" s="1" t="s">
        <v>389</v>
      </c>
      <c r="T136" s="1" t="s">
        <v>362</v>
      </c>
    </row>
    <row r="137" spans="1:20" ht="13" x14ac:dyDescent="0.15">
      <c r="A137" s="1" t="s">
        <v>425</v>
      </c>
      <c r="B137" s="1" t="s">
        <v>207</v>
      </c>
      <c r="C137" s="1" t="s">
        <v>406</v>
      </c>
      <c r="D137" s="1" t="s">
        <v>23</v>
      </c>
      <c r="E137" s="1" t="s">
        <v>73</v>
      </c>
      <c r="F137" s="1" t="s">
        <v>25</v>
      </c>
      <c r="G137" s="1">
        <v>29800</v>
      </c>
      <c r="H137" s="1" t="s">
        <v>41</v>
      </c>
      <c r="I137" s="1" t="s">
        <v>407</v>
      </c>
      <c r="J137" s="1" t="s">
        <v>408</v>
      </c>
      <c r="K137" s="1" t="s">
        <v>147</v>
      </c>
      <c r="L137" s="1" t="s">
        <v>52</v>
      </c>
      <c r="M137" s="1" t="s">
        <v>31</v>
      </c>
      <c r="N137" s="1" t="s">
        <v>53</v>
      </c>
      <c r="O137" s="1" t="s">
        <v>46</v>
      </c>
      <c r="P137" s="1">
        <v>22000</v>
      </c>
      <c r="Q137" s="1">
        <v>2021</v>
      </c>
      <c r="R137" s="1">
        <v>202404</v>
      </c>
      <c r="S137" s="1" t="s">
        <v>361</v>
      </c>
      <c r="T137" s="1" t="s">
        <v>362</v>
      </c>
    </row>
    <row r="138" spans="1:20" ht="13" x14ac:dyDescent="0.15">
      <c r="A138" s="1" t="s">
        <v>426</v>
      </c>
      <c r="B138" s="1" t="s">
        <v>227</v>
      </c>
      <c r="C138" s="1" t="s">
        <v>410</v>
      </c>
      <c r="D138" s="1" t="s">
        <v>90</v>
      </c>
      <c r="E138" s="1" t="s">
        <v>91</v>
      </c>
      <c r="F138" s="1" t="s">
        <v>111</v>
      </c>
      <c r="G138" s="1">
        <v>10435</v>
      </c>
      <c r="H138" s="1" t="s">
        <v>92</v>
      </c>
      <c r="I138" s="1" t="s">
        <v>411</v>
      </c>
      <c r="J138" s="1" t="s">
        <v>66</v>
      </c>
      <c r="K138" s="1" t="s">
        <v>165</v>
      </c>
      <c r="L138" s="1" t="s">
        <v>30</v>
      </c>
      <c r="M138" s="1" t="s">
        <v>166</v>
      </c>
      <c r="O138" s="1" t="s">
        <v>101</v>
      </c>
      <c r="P138" s="1">
        <v>6000</v>
      </c>
      <c r="Q138" s="1">
        <v>2024</v>
      </c>
      <c r="R138" s="1">
        <v>202405</v>
      </c>
      <c r="S138" s="1" t="s">
        <v>375</v>
      </c>
      <c r="T138" s="1" t="s">
        <v>362</v>
      </c>
    </row>
    <row r="139" spans="1:20" ht="13" x14ac:dyDescent="0.15">
      <c r="A139" s="1" t="s">
        <v>427</v>
      </c>
      <c r="B139" s="1" t="s">
        <v>21</v>
      </c>
      <c r="C139" s="1" t="s">
        <v>37</v>
      </c>
      <c r="D139" s="1" t="s">
        <v>38</v>
      </c>
      <c r="E139" s="1" t="s">
        <v>39</v>
      </c>
      <c r="F139" s="1" t="s">
        <v>40</v>
      </c>
      <c r="G139" s="1">
        <v>27000</v>
      </c>
      <c r="H139" s="1" t="s">
        <v>41</v>
      </c>
      <c r="I139" s="1" t="s">
        <v>359</v>
      </c>
      <c r="J139" s="1" t="s">
        <v>360</v>
      </c>
      <c r="K139" s="1" t="s">
        <v>248</v>
      </c>
      <c r="L139" s="1" t="s">
        <v>52</v>
      </c>
      <c r="M139" s="1" t="s">
        <v>31</v>
      </c>
      <c r="N139" s="1" t="s">
        <v>190</v>
      </c>
      <c r="O139" s="1" t="s">
        <v>101</v>
      </c>
      <c r="P139" s="1">
        <v>32000</v>
      </c>
      <c r="Q139" s="1">
        <v>2020</v>
      </c>
      <c r="R139" s="1">
        <v>202404</v>
      </c>
      <c r="S139" s="1" t="s">
        <v>361</v>
      </c>
      <c r="T139" s="1" t="s">
        <v>362</v>
      </c>
    </row>
    <row r="140" spans="1:20" ht="13" x14ac:dyDescent="0.15">
      <c r="A140" s="1" t="s">
        <v>428</v>
      </c>
      <c r="B140" s="1" t="s">
        <v>21</v>
      </c>
      <c r="C140" s="1" t="s">
        <v>37</v>
      </c>
      <c r="D140" s="1" t="s">
        <v>38</v>
      </c>
      <c r="E140" s="1" t="s">
        <v>39</v>
      </c>
      <c r="F140" s="1" t="s">
        <v>40</v>
      </c>
      <c r="G140" s="1">
        <v>27000</v>
      </c>
      <c r="H140" s="1" t="s">
        <v>41</v>
      </c>
      <c r="I140" s="1" t="s">
        <v>364</v>
      </c>
      <c r="J140" s="1" t="s">
        <v>365</v>
      </c>
      <c r="K140" s="1" t="s">
        <v>165</v>
      </c>
      <c r="L140" s="1" t="s">
        <v>30</v>
      </c>
      <c r="M140" s="1" t="s">
        <v>166</v>
      </c>
      <c r="O140" s="1" t="s">
        <v>33</v>
      </c>
      <c r="P140" s="1">
        <v>12000</v>
      </c>
      <c r="Q140" s="1">
        <v>2023</v>
      </c>
      <c r="R140" s="1">
        <v>202404</v>
      </c>
      <c r="S140" s="1" t="s">
        <v>361</v>
      </c>
      <c r="T140" s="1" t="s">
        <v>362</v>
      </c>
    </row>
    <row r="141" spans="1:20" ht="13" x14ac:dyDescent="0.15">
      <c r="A141" s="1" t="s">
        <v>429</v>
      </c>
      <c r="B141" s="1" t="s">
        <v>21</v>
      </c>
      <c r="C141" s="1" t="s">
        <v>37</v>
      </c>
      <c r="D141" s="1" t="s">
        <v>23</v>
      </c>
      <c r="E141" s="1" t="s">
        <v>73</v>
      </c>
      <c r="F141" s="1" t="s">
        <v>25</v>
      </c>
      <c r="G141" s="1">
        <v>29500</v>
      </c>
      <c r="H141" s="1" t="s">
        <v>41</v>
      </c>
      <c r="I141" s="1" t="s">
        <v>367</v>
      </c>
      <c r="J141" s="1" t="s">
        <v>368</v>
      </c>
      <c r="K141" s="1" t="s">
        <v>76</v>
      </c>
      <c r="L141" s="1" t="s">
        <v>30</v>
      </c>
      <c r="M141" s="1" t="s">
        <v>39</v>
      </c>
      <c r="N141" s="1" t="s">
        <v>32</v>
      </c>
      <c r="O141" s="1" t="s">
        <v>61</v>
      </c>
      <c r="P141" s="1">
        <v>9000</v>
      </c>
      <c r="Q141" s="1">
        <v>2023</v>
      </c>
      <c r="R141" s="1">
        <v>202404</v>
      </c>
      <c r="S141" s="1" t="s">
        <v>361</v>
      </c>
      <c r="T141" s="1" t="s">
        <v>362</v>
      </c>
    </row>
    <row r="142" spans="1:20" ht="13" x14ac:dyDescent="0.15">
      <c r="A142" s="1" t="s">
        <v>430</v>
      </c>
      <c r="B142" s="1" t="s">
        <v>21</v>
      </c>
      <c r="C142" s="1" t="s">
        <v>37</v>
      </c>
      <c r="D142" s="1" t="s">
        <v>38</v>
      </c>
      <c r="E142" s="1" t="s">
        <v>39</v>
      </c>
      <c r="F142" s="1" t="s">
        <v>40</v>
      </c>
      <c r="G142" s="1">
        <v>27000</v>
      </c>
      <c r="H142" s="1" t="s">
        <v>41</v>
      </c>
      <c r="I142" s="1" t="s">
        <v>370</v>
      </c>
      <c r="J142" s="1" t="s">
        <v>371</v>
      </c>
      <c r="K142" s="1" t="s">
        <v>372</v>
      </c>
      <c r="L142" s="1" t="s">
        <v>68</v>
      </c>
      <c r="M142" s="1" t="s">
        <v>31</v>
      </c>
      <c r="N142" s="1" t="s">
        <v>53</v>
      </c>
      <c r="O142" s="1" t="s">
        <v>33</v>
      </c>
      <c r="P142" s="1">
        <v>20000</v>
      </c>
      <c r="Q142" s="1">
        <v>2022</v>
      </c>
      <c r="R142" s="1">
        <v>202404</v>
      </c>
      <c r="S142" s="1" t="s">
        <v>361</v>
      </c>
      <c r="T142" s="1" t="s">
        <v>362</v>
      </c>
    </row>
    <row r="143" spans="1:20" ht="13" x14ac:dyDescent="0.15">
      <c r="A143" s="1" t="s">
        <v>431</v>
      </c>
      <c r="B143" s="1" t="s">
        <v>21</v>
      </c>
      <c r="C143" s="1" t="s">
        <v>37</v>
      </c>
      <c r="D143" s="1" t="s">
        <v>38</v>
      </c>
      <c r="E143" s="1" t="s">
        <v>39</v>
      </c>
      <c r="F143" s="1" t="s">
        <v>40</v>
      </c>
      <c r="G143" s="1">
        <v>27000</v>
      </c>
      <c r="H143" s="1" t="s">
        <v>41</v>
      </c>
      <c r="I143" s="1" t="s">
        <v>374</v>
      </c>
      <c r="J143" s="1" t="s">
        <v>237</v>
      </c>
      <c r="K143" s="1" t="s">
        <v>248</v>
      </c>
      <c r="L143" s="1" t="s">
        <v>52</v>
      </c>
      <c r="M143" s="1" t="s">
        <v>31</v>
      </c>
      <c r="N143" s="1" t="s">
        <v>156</v>
      </c>
      <c r="O143" s="1" t="s">
        <v>46</v>
      </c>
      <c r="P143" s="1">
        <v>28000</v>
      </c>
      <c r="Q143" s="1">
        <v>2020</v>
      </c>
      <c r="R143" s="1">
        <v>202405</v>
      </c>
      <c r="S143" s="1" t="s">
        <v>375</v>
      </c>
      <c r="T143" s="1" t="s">
        <v>362</v>
      </c>
    </row>
    <row r="144" spans="1:20" ht="13" x14ac:dyDescent="0.15">
      <c r="A144" s="1" t="s">
        <v>432</v>
      </c>
      <c r="B144" s="1" t="s">
        <v>21</v>
      </c>
      <c r="C144" s="1" t="s">
        <v>103</v>
      </c>
      <c r="D144" s="1" t="s">
        <v>90</v>
      </c>
      <c r="E144" s="1" t="s">
        <v>105</v>
      </c>
      <c r="F144" s="1" t="s">
        <v>25</v>
      </c>
      <c r="G144" s="1">
        <v>35800</v>
      </c>
      <c r="H144" s="1" t="s">
        <v>41</v>
      </c>
      <c r="I144" s="1" t="s">
        <v>377</v>
      </c>
      <c r="J144" s="1" t="s">
        <v>378</v>
      </c>
      <c r="K144" s="1" t="s">
        <v>29</v>
      </c>
      <c r="L144" s="1" t="s">
        <v>30</v>
      </c>
      <c r="M144" s="1" t="s">
        <v>31</v>
      </c>
      <c r="N144" s="1" t="s">
        <v>60</v>
      </c>
      <c r="O144" s="1" t="s">
        <v>54</v>
      </c>
      <c r="P144" s="1">
        <v>11000</v>
      </c>
      <c r="Q144" s="1">
        <v>2023</v>
      </c>
      <c r="R144" s="1">
        <v>202405</v>
      </c>
      <c r="S144" s="1" t="s">
        <v>375</v>
      </c>
      <c r="T144" s="1" t="s">
        <v>362</v>
      </c>
    </row>
    <row r="145" spans="1:20" ht="13" x14ac:dyDescent="0.15">
      <c r="A145" s="1" t="s">
        <v>433</v>
      </c>
      <c r="B145" s="1" t="s">
        <v>21</v>
      </c>
      <c r="C145" s="1" t="s">
        <v>37</v>
      </c>
      <c r="D145" s="1" t="s">
        <v>38</v>
      </c>
      <c r="E145" s="1" t="s">
        <v>39</v>
      </c>
      <c r="F145" s="1" t="s">
        <v>40</v>
      </c>
      <c r="G145" s="1">
        <v>27000</v>
      </c>
      <c r="H145" s="1" t="s">
        <v>41</v>
      </c>
      <c r="I145" s="1" t="s">
        <v>380</v>
      </c>
      <c r="J145" s="1" t="s">
        <v>381</v>
      </c>
      <c r="K145" s="1" t="s">
        <v>382</v>
      </c>
      <c r="L145" s="1" t="s">
        <v>85</v>
      </c>
      <c r="M145" s="1" t="s">
        <v>31</v>
      </c>
      <c r="N145" s="1" t="s">
        <v>60</v>
      </c>
      <c r="O145" s="1" t="s">
        <v>61</v>
      </c>
      <c r="P145" s="1">
        <v>24000</v>
      </c>
      <c r="Q145" s="1">
        <v>2021</v>
      </c>
      <c r="R145" s="1">
        <v>202405</v>
      </c>
      <c r="S145" s="1" t="s">
        <v>375</v>
      </c>
      <c r="T145" s="1" t="s">
        <v>362</v>
      </c>
    </row>
    <row r="146" spans="1:20" ht="13" x14ac:dyDescent="0.15">
      <c r="A146" s="1" t="s">
        <v>434</v>
      </c>
      <c r="B146" s="1" t="s">
        <v>21</v>
      </c>
      <c r="C146" s="1" t="s">
        <v>103</v>
      </c>
      <c r="D146" s="1" t="s">
        <v>90</v>
      </c>
      <c r="E146" s="1" t="s">
        <v>105</v>
      </c>
      <c r="F146" s="1" t="s">
        <v>25</v>
      </c>
      <c r="G146" s="1">
        <v>32000</v>
      </c>
      <c r="H146" s="1" t="s">
        <v>41</v>
      </c>
      <c r="I146" s="1" t="s">
        <v>384</v>
      </c>
      <c r="J146" s="1" t="s">
        <v>385</v>
      </c>
      <c r="K146" s="1" t="s">
        <v>248</v>
      </c>
      <c r="L146" s="1" t="s">
        <v>52</v>
      </c>
      <c r="M146" s="1" t="s">
        <v>31</v>
      </c>
      <c r="N146" s="1" t="s">
        <v>156</v>
      </c>
      <c r="O146" s="1" t="s">
        <v>54</v>
      </c>
      <c r="P146" s="1">
        <v>21000</v>
      </c>
      <c r="Q146" s="1">
        <v>2021</v>
      </c>
      <c r="R146" s="1">
        <v>202405</v>
      </c>
      <c r="S146" s="1" t="s">
        <v>375</v>
      </c>
      <c r="T146" s="1" t="s">
        <v>362</v>
      </c>
    </row>
    <row r="147" spans="1:20" ht="13" x14ac:dyDescent="0.15">
      <c r="A147" s="1" t="s">
        <v>435</v>
      </c>
      <c r="B147" s="1" t="s">
        <v>21</v>
      </c>
      <c r="C147" s="1" t="s">
        <v>110</v>
      </c>
      <c r="D147" s="1" t="s">
        <v>90</v>
      </c>
      <c r="E147" s="1" t="s">
        <v>91</v>
      </c>
      <c r="F147" s="1" t="s">
        <v>25</v>
      </c>
      <c r="G147" s="1">
        <v>44800</v>
      </c>
      <c r="H147" s="1" t="s">
        <v>92</v>
      </c>
      <c r="I147" s="1" t="s">
        <v>387</v>
      </c>
      <c r="J147" s="1" t="s">
        <v>388</v>
      </c>
      <c r="K147" s="1" t="s">
        <v>29</v>
      </c>
      <c r="L147" s="1" t="s">
        <v>30</v>
      </c>
      <c r="M147" s="1" t="s">
        <v>31</v>
      </c>
      <c r="N147" s="1" t="s">
        <v>77</v>
      </c>
      <c r="O147" s="1" t="s">
        <v>101</v>
      </c>
      <c r="P147" s="1">
        <v>18000</v>
      </c>
      <c r="Q147" s="1">
        <v>2022</v>
      </c>
      <c r="R147" s="1">
        <v>202406</v>
      </c>
      <c r="S147" s="1" t="s">
        <v>389</v>
      </c>
      <c r="T147" s="1" t="s">
        <v>362</v>
      </c>
    </row>
    <row r="148" spans="1:20" ht="13" x14ac:dyDescent="0.15">
      <c r="A148" s="1" t="s">
        <v>436</v>
      </c>
      <c r="B148" s="1" t="s">
        <v>21</v>
      </c>
      <c r="C148" s="1" t="s">
        <v>110</v>
      </c>
      <c r="D148" s="1" t="s">
        <v>90</v>
      </c>
      <c r="E148" s="1" t="s">
        <v>105</v>
      </c>
      <c r="F148" s="1" t="s">
        <v>111</v>
      </c>
      <c r="G148" s="1">
        <v>43000</v>
      </c>
      <c r="H148" s="1" t="s">
        <v>92</v>
      </c>
      <c r="I148" s="1" t="s">
        <v>391</v>
      </c>
      <c r="J148" s="1" t="s">
        <v>392</v>
      </c>
      <c r="K148" s="1" t="s">
        <v>142</v>
      </c>
      <c r="L148" s="1" t="s">
        <v>85</v>
      </c>
      <c r="M148" s="1" t="s">
        <v>31</v>
      </c>
      <c r="N148" s="1" t="s">
        <v>45</v>
      </c>
      <c r="O148" s="1" t="s">
        <v>54</v>
      </c>
      <c r="P148" s="1">
        <v>20000</v>
      </c>
      <c r="Q148" s="1">
        <v>2021</v>
      </c>
      <c r="R148" s="1">
        <v>202406</v>
      </c>
      <c r="S148" s="1" t="s">
        <v>389</v>
      </c>
      <c r="T148" s="1" t="s">
        <v>362</v>
      </c>
    </row>
    <row r="149" spans="1:20" ht="13" x14ac:dyDescent="0.15">
      <c r="A149" s="1" t="s">
        <v>437</v>
      </c>
      <c r="B149" s="1" t="s">
        <v>21</v>
      </c>
      <c r="C149" s="1" t="s">
        <v>103</v>
      </c>
      <c r="D149" s="1" t="s">
        <v>90</v>
      </c>
      <c r="E149" s="1" t="s">
        <v>105</v>
      </c>
      <c r="F149" s="1" t="s">
        <v>25</v>
      </c>
      <c r="G149" s="1">
        <v>32000</v>
      </c>
      <c r="H149" s="1" t="s">
        <v>41</v>
      </c>
      <c r="I149" s="1" t="s">
        <v>394</v>
      </c>
      <c r="J149" s="1" t="s">
        <v>395</v>
      </c>
      <c r="K149" s="1" t="s">
        <v>248</v>
      </c>
      <c r="L149" s="1" t="s">
        <v>52</v>
      </c>
      <c r="M149" s="1" t="s">
        <v>31</v>
      </c>
      <c r="N149" s="1" t="s">
        <v>156</v>
      </c>
      <c r="O149" s="1" t="s">
        <v>46</v>
      </c>
      <c r="P149" s="1">
        <v>15000</v>
      </c>
      <c r="Q149" s="1">
        <v>2022</v>
      </c>
      <c r="R149" s="1">
        <v>202406</v>
      </c>
      <c r="S149" s="1" t="s">
        <v>389</v>
      </c>
      <c r="T149" s="1" t="s">
        <v>362</v>
      </c>
    </row>
    <row r="150" spans="1:20" ht="13" x14ac:dyDescent="0.15">
      <c r="A150" s="1" t="s">
        <v>438</v>
      </c>
      <c r="B150" s="1" t="s">
        <v>21</v>
      </c>
      <c r="C150" s="1" t="s">
        <v>397</v>
      </c>
      <c r="D150" s="1" t="s">
        <v>398</v>
      </c>
      <c r="E150" s="1" t="s">
        <v>399</v>
      </c>
      <c r="F150" s="1" t="s">
        <v>25</v>
      </c>
      <c r="G150" s="1">
        <v>33500</v>
      </c>
      <c r="H150" s="1" t="s">
        <v>41</v>
      </c>
      <c r="I150" s="1" t="s">
        <v>400</v>
      </c>
      <c r="J150" s="1" t="s">
        <v>401</v>
      </c>
      <c r="K150" s="1" t="s">
        <v>29</v>
      </c>
      <c r="L150" s="1" t="s">
        <v>30</v>
      </c>
      <c r="M150" s="1" t="s">
        <v>31</v>
      </c>
      <c r="N150" s="1" t="s">
        <v>133</v>
      </c>
      <c r="O150" s="1" t="s">
        <v>101</v>
      </c>
      <c r="P150" s="1">
        <v>21000</v>
      </c>
      <c r="Q150" s="1">
        <v>2020</v>
      </c>
      <c r="R150" s="1">
        <v>202406</v>
      </c>
      <c r="S150" s="1" t="s">
        <v>389</v>
      </c>
      <c r="T150" s="1" t="s">
        <v>362</v>
      </c>
    </row>
    <row r="151" spans="1:20" ht="13" x14ac:dyDescent="0.15">
      <c r="A151" s="1" t="s">
        <v>439</v>
      </c>
      <c r="B151" s="1" t="s">
        <v>21</v>
      </c>
      <c r="C151" s="1" t="s">
        <v>110</v>
      </c>
      <c r="D151" s="1" t="s">
        <v>90</v>
      </c>
      <c r="E151" s="1" t="s">
        <v>105</v>
      </c>
      <c r="F151" s="1" t="s">
        <v>111</v>
      </c>
      <c r="G151" s="1">
        <v>43000</v>
      </c>
      <c r="H151" s="1" t="s">
        <v>92</v>
      </c>
      <c r="I151" s="1" t="s">
        <v>403</v>
      </c>
      <c r="J151" s="1" t="s">
        <v>404</v>
      </c>
      <c r="K151" s="1" t="s">
        <v>165</v>
      </c>
      <c r="L151" s="1" t="s">
        <v>30</v>
      </c>
      <c r="M151" s="1" t="s">
        <v>166</v>
      </c>
      <c r="O151" s="1" t="s">
        <v>54</v>
      </c>
      <c r="P151" s="1">
        <v>1000</v>
      </c>
      <c r="Q151" s="1">
        <v>2024</v>
      </c>
      <c r="R151" s="1">
        <v>202406</v>
      </c>
      <c r="S151" s="1" t="s">
        <v>389</v>
      </c>
      <c r="T151" s="1" t="s">
        <v>362</v>
      </c>
    </row>
    <row r="152" spans="1:20" ht="13" x14ac:dyDescent="0.15">
      <c r="A152" s="1" t="s">
        <v>440</v>
      </c>
      <c r="B152" s="1" t="s">
        <v>207</v>
      </c>
      <c r="C152" s="1" t="s">
        <v>406</v>
      </c>
      <c r="D152" s="1" t="s">
        <v>23</v>
      </c>
      <c r="E152" s="1" t="s">
        <v>73</v>
      </c>
      <c r="F152" s="1" t="s">
        <v>25</v>
      </c>
      <c r="G152" s="1">
        <v>29800</v>
      </c>
      <c r="H152" s="1" t="s">
        <v>41</v>
      </c>
      <c r="I152" s="1" t="s">
        <v>407</v>
      </c>
      <c r="J152" s="1" t="s">
        <v>408</v>
      </c>
      <c r="K152" s="1" t="s">
        <v>147</v>
      </c>
      <c r="L152" s="1" t="s">
        <v>52</v>
      </c>
      <c r="M152" s="1" t="s">
        <v>31</v>
      </c>
      <c r="N152" s="1" t="s">
        <v>53</v>
      </c>
      <c r="O152" s="1" t="s">
        <v>46</v>
      </c>
      <c r="P152" s="1">
        <v>22000</v>
      </c>
      <c r="Q152" s="1">
        <v>2021</v>
      </c>
      <c r="R152" s="1">
        <v>202404</v>
      </c>
      <c r="S152" s="1" t="s">
        <v>361</v>
      </c>
      <c r="T152" s="1" t="s">
        <v>362</v>
      </c>
    </row>
    <row r="153" spans="1:20" ht="13" x14ac:dyDescent="0.15">
      <c r="A153" s="1" t="s">
        <v>441</v>
      </c>
      <c r="B153" s="1" t="s">
        <v>227</v>
      </c>
      <c r="C153" s="1" t="s">
        <v>410</v>
      </c>
      <c r="D153" s="1" t="s">
        <v>90</v>
      </c>
      <c r="E153" s="1" t="s">
        <v>91</v>
      </c>
      <c r="F153" s="1" t="s">
        <v>111</v>
      </c>
      <c r="G153" s="1">
        <v>10436</v>
      </c>
      <c r="H153" s="1" t="s">
        <v>92</v>
      </c>
      <c r="I153" s="1" t="s">
        <v>411</v>
      </c>
      <c r="J153" s="1" t="s">
        <v>66</v>
      </c>
      <c r="K153" s="1" t="s">
        <v>165</v>
      </c>
      <c r="L153" s="1" t="s">
        <v>30</v>
      </c>
      <c r="M153" s="1" t="s">
        <v>166</v>
      </c>
      <c r="O153" s="1" t="s">
        <v>101</v>
      </c>
      <c r="P153" s="1">
        <v>6000</v>
      </c>
      <c r="Q153" s="1">
        <v>2024</v>
      </c>
      <c r="R153" s="1">
        <v>202405</v>
      </c>
      <c r="S153" s="1" t="s">
        <v>375</v>
      </c>
      <c r="T153" s="1" t="s">
        <v>362</v>
      </c>
    </row>
    <row r="154" spans="1:20" ht="13" x14ac:dyDescent="0.15"/>
    <row r="155" spans="1:20" ht="13" x14ac:dyDescent="0.15"/>
    <row r="156" spans="1:20" ht="13" x14ac:dyDescent="0.15"/>
    <row r="157" spans="1:20" ht="13" x14ac:dyDescent="0.15"/>
    <row r="158" spans="1:20" ht="13" x14ac:dyDescent="0.15"/>
    <row r="159" spans="1:20" ht="13" x14ac:dyDescent="0.15"/>
    <row r="160" spans="1:20" ht="13" x14ac:dyDescent="0.15"/>
    <row r="161" ht="13" x14ac:dyDescent="0.15"/>
    <row r="162" ht="13" x14ac:dyDescent="0.15"/>
    <row r="163" ht="13" x14ac:dyDescent="0.15"/>
    <row r="164" ht="13" x14ac:dyDescent="0.15"/>
    <row r="165" ht="13" x14ac:dyDescent="0.15"/>
    <row r="166" ht="13" x14ac:dyDescent="0.15"/>
    <row r="167" ht="13" x14ac:dyDescent="0.15"/>
    <row r="168" ht="13" x14ac:dyDescent="0.15"/>
    <row r="169" ht="13" x14ac:dyDescent="0.15"/>
    <row r="170" ht="13" x14ac:dyDescent="0.15"/>
    <row r="171" ht="13" x14ac:dyDescent="0.15"/>
    <row r="172" ht="13" x14ac:dyDescent="0.15"/>
    <row r="173" ht="13" x14ac:dyDescent="0.15"/>
    <row r="174" ht="13" x14ac:dyDescent="0.15"/>
    <row r="175" ht="13" x14ac:dyDescent="0.15"/>
    <row r="176" ht="13" x14ac:dyDescent="0.15"/>
    <row r="177" ht="13" x14ac:dyDescent="0.15"/>
    <row r="178" ht="13" x14ac:dyDescent="0.15"/>
    <row r="179" ht="13" x14ac:dyDescent="0.15"/>
    <row r="180" ht="13" x14ac:dyDescent="0.15"/>
    <row r="181" ht="13" x14ac:dyDescent="0.15"/>
    <row r="182" ht="13" x14ac:dyDescent="0.15"/>
    <row r="183" ht="13" x14ac:dyDescent="0.15"/>
    <row r="184" ht="13" x14ac:dyDescent="0.15"/>
    <row r="185" ht="13" x14ac:dyDescent="0.15"/>
    <row r="186" ht="13" x14ac:dyDescent="0.15"/>
    <row r="187" ht="13" x14ac:dyDescent="0.15"/>
    <row r="188" ht="13" x14ac:dyDescent="0.15"/>
    <row r="189" ht="13" x14ac:dyDescent="0.15"/>
    <row r="190" ht="13" x14ac:dyDescent="0.15"/>
    <row r="191" ht="13" x14ac:dyDescent="0.15"/>
    <row r="192" ht="13" x14ac:dyDescent="0.15"/>
    <row r="193" ht="13" x14ac:dyDescent="0.15"/>
    <row r="194" ht="13" x14ac:dyDescent="0.15"/>
    <row r="195" ht="13" x14ac:dyDescent="0.15"/>
    <row r="196" ht="13" x14ac:dyDescent="0.15"/>
    <row r="197" ht="13" x14ac:dyDescent="0.15"/>
    <row r="198" ht="13" x14ac:dyDescent="0.15"/>
    <row r="199" ht="13" x14ac:dyDescent="0.15"/>
    <row r="200" ht="13" x14ac:dyDescent="0.15"/>
    <row r="201" ht="13" x14ac:dyDescent="0.15"/>
    <row r="202" ht="13" x14ac:dyDescent="0.15"/>
    <row r="203" ht="13" x14ac:dyDescent="0.15"/>
    <row r="204" ht="13" x14ac:dyDescent="0.15"/>
    <row r="205" ht="13" x14ac:dyDescent="0.15"/>
    <row r="206" ht="13" x14ac:dyDescent="0.15"/>
    <row r="207" ht="13" x14ac:dyDescent="0.15"/>
    <row r="208" ht="13" x14ac:dyDescent="0.15"/>
    <row r="209" ht="13" x14ac:dyDescent="0.15"/>
    <row r="210" ht="13" x14ac:dyDescent="0.15"/>
    <row r="211" ht="13" x14ac:dyDescent="0.15"/>
    <row r="212" ht="13" x14ac:dyDescent="0.15"/>
    <row r="213" ht="13" x14ac:dyDescent="0.15"/>
    <row r="214" ht="13" x14ac:dyDescent="0.15"/>
    <row r="215" ht="13" x14ac:dyDescent="0.15"/>
    <row r="216" ht="13" x14ac:dyDescent="0.15"/>
    <row r="217" ht="13" x14ac:dyDescent="0.15"/>
    <row r="218" ht="13" x14ac:dyDescent="0.15"/>
    <row r="219" ht="13" x14ac:dyDescent="0.15"/>
    <row r="220" ht="13" x14ac:dyDescent="0.15"/>
    <row r="221" ht="13" x14ac:dyDescent="0.15"/>
    <row r="222" ht="13" x14ac:dyDescent="0.15"/>
    <row r="223" ht="13" x14ac:dyDescent="0.15"/>
    <row r="224" ht="13" x14ac:dyDescent="0.15"/>
    <row r="225" ht="13" x14ac:dyDescent="0.15"/>
    <row r="226" ht="13" x14ac:dyDescent="0.15"/>
    <row r="227" ht="13" x14ac:dyDescent="0.15"/>
    <row r="228" ht="13" x14ac:dyDescent="0.15"/>
    <row r="229" ht="13" x14ac:dyDescent="0.15"/>
    <row r="230" ht="13" x14ac:dyDescent="0.15"/>
    <row r="231" ht="13" x14ac:dyDescent="0.15"/>
    <row r="232" ht="13" x14ac:dyDescent="0.15"/>
    <row r="233" ht="13" x14ac:dyDescent="0.15"/>
    <row r="234" ht="13" x14ac:dyDescent="0.15"/>
    <row r="235" ht="13" x14ac:dyDescent="0.15"/>
    <row r="236" ht="13" x14ac:dyDescent="0.15"/>
    <row r="237" ht="13" x14ac:dyDescent="0.15"/>
    <row r="238" ht="13" x14ac:dyDescent="0.15"/>
    <row r="239" ht="13" x14ac:dyDescent="0.15"/>
    <row r="240" ht="13" x14ac:dyDescent="0.15"/>
    <row r="241" ht="13" x14ac:dyDescent="0.15"/>
    <row r="242" ht="13" x14ac:dyDescent="0.15"/>
    <row r="243" ht="13" x14ac:dyDescent="0.15"/>
    <row r="244" ht="13" x14ac:dyDescent="0.15"/>
    <row r="245" ht="13" x14ac:dyDescent="0.15"/>
    <row r="246" ht="13" x14ac:dyDescent="0.15"/>
    <row r="247" ht="13" x14ac:dyDescent="0.15"/>
    <row r="248" ht="13" x14ac:dyDescent="0.15"/>
    <row r="249" ht="13" x14ac:dyDescent="0.15"/>
    <row r="250" ht="13" x14ac:dyDescent="0.15"/>
    <row r="251" ht="13" x14ac:dyDescent="0.15"/>
    <row r="252" ht="13" x14ac:dyDescent="0.15"/>
    <row r="253" ht="13" x14ac:dyDescent="0.15"/>
    <row r="254" ht="13" x14ac:dyDescent="0.15"/>
    <row r="255" ht="13" x14ac:dyDescent="0.15"/>
    <row r="256" ht="13" x14ac:dyDescent="0.15"/>
    <row r="257" ht="13" x14ac:dyDescent="0.15"/>
    <row r="258" ht="13" x14ac:dyDescent="0.15"/>
    <row r="259" ht="13" x14ac:dyDescent="0.15"/>
    <row r="260" ht="13" x14ac:dyDescent="0.15"/>
    <row r="261" ht="13" x14ac:dyDescent="0.15"/>
    <row r="262" ht="13" x14ac:dyDescent="0.15"/>
    <row r="263" ht="13" x14ac:dyDescent="0.15"/>
    <row r="264" ht="13" x14ac:dyDescent="0.15"/>
    <row r="265" ht="13" x14ac:dyDescent="0.15"/>
    <row r="266" ht="13" x14ac:dyDescent="0.15"/>
    <row r="267" ht="13" x14ac:dyDescent="0.15"/>
    <row r="268" ht="13" x14ac:dyDescent="0.15"/>
    <row r="269" ht="13" x14ac:dyDescent="0.15"/>
    <row r="270" ht="13" x14ac:dyDescent="0.15"/>
    <row r="271" ht="13" x14ac:dyDescent="0.15"/>
    <row r="272" ht="13" x14ac:dyDescent="0.15"/>
    <row r="273" ht="13" x14ac:dyDescent="0.15"/>
    <row r="274" ht="13" x14ac:dyDescent="0.15"/>
    <row r="275" ht="13" x14ac:dyDescent="0.15"/>
    <row r="276" ht="13" x14ac:dyDescent="0.15"/>
    <row r="277" ht="13" x14ac:dyDescent="0.15"/>
    <row r="278" ht="13" x14ac:dyDescent="0.15"/>
    <row r="279" ht="13" x14ac:dyDescent="0.15"/>
    <row r="280" ht="13" x14ac:dyDescent="0.15"/>
    <row r="281" ht="13" x14ac:dyDescent="0.15"/>
    <row r="282" ht="13" x14ac:dyDescent="0.15"/>
    <row r="283" ht="13" x14ac:dyDescent="0.15"/>
    <row r="284" ht="13" x14ac:dyDescent="0.15"/>
    <row r="285" ht="13" x14ac:dyDescent="0.15"/>
    <row r="286" ht="13" x14ac:dyDescent="0.15"/>
    <row r="287" ht="13" x14ac:dyDescent="0.15"/>
    <row r="288" ht="13" x14ac:dyDescent="0.15"/>
    <row r="289" ht="13" x14ac:dyDescent="0.15"/>
    <row r="290" ht="13" x14ac:dyDescent="0.15"/>
    <row r="291" ht="13" x14ac:dyDescent="0.15"/>
    <row r="292" ht="13" x14ac:dyDescent="0.15"/>
    <row r="293" ht="13" x14ac:dyDescent="0.15"/>
    <row r="294" ht="13" x14ac:dyDescent="0.15"/>
    <row r="295" ht="13" x14ac:dyDescent="0.15"/>
    <row r="296" ht="13" x14ac:dyDescent="0.15"/>
    <row r="297" ht="13" x14ac:dyDescent="0.15"/>
    <row r="298" ht="13" x14ac:dyDescent="0.15"/>
    <row r="299" ht="13" x14ac:dyDescent="0.15"/>
    <row r="300" ht="13" x14ac:dyDescent="0.15"/>
    <row r="301" ht="13" x14ac:dyDescent="0.15"/>
    <row r="302" ht="13" x14ac:dyDescent="0.15"/>
    <row r="303" ht="13" x14ac:dyDescent="0.15"/>
    <row r="304" ht="13" x14ac:dyDescent="0.15"/>
    <row r="305" ht="13" x14ac:dyDescent="0.15"/>
    <row r="306" ht="13" x14ac:dyDescent="0.15"/>
    <row r="307" ht="13" x14ac:dyDescent="0.15"/>
    <row r="308" ht="13" x14ac:dyDescent="0.15"/>
    <row r="309" ht="13" x14ac:dyDescent="0.15"/>
    <row r="310" ht="13" x14ac:dyDescent="0.15"/>
    <row r="311" ht="13" x14ac:dyDescent="0.15"/>
    <row r="312" ht="13" x14ac:dyDescent="0.15"/>
    <row r="313" ht="13" x14ac:dyDescent="0.15"/>
    <row r="314" ht="13" x14ac:dyDescent="0.15"/>
    <row r="315" ht="13" x14ac:dyDescent="0.15"/>
    <row r="316" ht="13" x14ac:dyDescent="0.15"/>
    <row r="317" ht="13" x14ac:dyDescent="0.15"/>
    <row r="318" ht="13" x14ac:dyDescent="0.15"/>
    <row r="319" ht="13" x14ac:dyDescent="0.15"/>
    <row r="320" ht="13" x14ac:dyDescent="0.15"/>
    <row r="321" ht="13" x14ac:dyDescent="0.15"/>
    <row r="322" ht="13" x14ac:dyDescent="0.15"/>
    <row r="323" ht="13" x14ac:dyDescent="0.15"/>
    <row r="324" ht="13" x14ac:dyDescent="0.15"/>
    <row r="325" ht="13" x14ac:dyDescent="0.15"/>
    <row r="326" ht="13" x14ac:dyDescent="0.15"/>
    <row r="327" ht="13" x14ac:dyDescent="0.15"/>
    <row r="328" ht="13" x14ac:dyDescent="0.15"/>
    <row r="329" ht="13" x14ac:dyDescent="0.15"/>
    <row r="330" ht="13" x14ac:dyDescent="0.15"/>
    <row r="331" ht="13" x14ac:dyDescent="0.15"/>
    <row r="332" ht="13" x14ac:dyDescent="0.15"/>
    <row r="333" ht="13" x14ac:dyDescent="0.15"/>
    <row r="334" ht="13" x14ac:dyDescent="0.15"/>
    <row r="335" ht="13" x14ac:dyDescent="0.15"/>
    <row r="336" ht="13" x14ac:dyDescent="0.15"/>
    <row r="337" ht="13" x14ac:dyDescent="0.15"/>
    <row r="338" ht="13" x14ac:dyDescent="0.15"/>
    <row r="339" ht="13" x14ac:dyDescent="0.15"/>
    <row r="340" ht="13" x14ac:dyDescent="0.15"/>
    <row r="341" ht="13" x14ac:dyDescent="0.15"/>
    <row r="342" ht="13" x14ac:dyDescent="0.15"/>
    <row r="343" ht="13" x14ac:dyDescent="0.15"/>
    <row r="344" ht="13" x14ac:dyDescent="0.15"/>
    <row r="345" ht="13" x14ac:dyDescent="0.15"/>
    <row r="346" ht="13" x14ac:dyDescent="0.15"/>
    <row r="347" ht="13" x14ac:dyDescent="0.15"/>
    <row r="348" ht="13" x14ac:dyDescent="0.15"/>
    <row r="349" ht="13" x14ac:dyDescent="0.15"/>
    <row r="350" ht="13" x14ac:dyDescent="0.15"/>
    <row r="351" ht="13" x14ac:dyDescent="0.15"/>
    <row r="352" ht="13" x14ac:dyDescent="0.15"/>
    <row r="353" ht="13" x14ac:dyDescent="0.15"/>
    <row r="354" ht="13" x14ac:dyDescent="0.15"/>
    <row r="355" ht="13" x14ac:dyDescent="0.15"/>
    <row r="356" ht="13" x14ac:dyDescent="0.15"/>
    <row r="357" ht="13" x14ac:dyDescent="0.15"/>
    <row r="358" ht="13" x14ac:dyDescent="0.15"/>
    <row r="359" ht="13" x14ac:dyDescent="0.15"/>
    <row r="360" ht="13" x14ac:dyDescent="0.15"/>
    <row r="361" ht="13" x14ac:dyDescent="0.15"/>
    <row r="362" ht="13" x14ac:dyDescent="0.15"/>
    <row r="363" ht="13" x14ac:dyDescent="0.15"/>
    <row r="364" ht="13" x14ac:dyDescent="0.15"/>
    <row r="365" ht="13" x14ac:dyDescent="0.15"/>
    <row r="366" ht="13" x14ac:dyDescent="0.15"/>
    <row r="367" ht="13" x14ac:dyDescent="0.15"/>
    <row r="368" ht="13" x14ac:dyDescent="0.15"/>
    <row r="369" ht="13" x14ac:dyDescent="0.15"/>
    <row r="370" ht="13" x14ac:dyDescent="0.15"/>
    <row r="371" ht="13" x14ac:dyDescent="0.15"/>
    <row r="372" ht="13" x14ac:dyDescent="0.15"/>
    <row r="373" ht="13" x14ac:dyDescent="0.15"/>
    <row r="374" ht="13" x14ac:dyDescent="0.15"/>
    <row r="375" ht="13" x14ac:dyDescent="0.15"/>
    <row r="376" ht="13" x14ac:dyDescent="0.15"/>
    <row r="377" ht="13" x14ac:dyDescent="0.15"/>
    <row r="378" ht="13" x14ac:dyDescent="0.15"/>
    <row r="379" ht="13" x14ac:dyDescent="0.15"/>
    <row r="380" ht="13" x14ac:dyDescent="0.15"/>
    <row r="381" ht="13" x14ac:dyDescent="0.15"/>
    <row r="382" ht="13" x14ac:dyDescent="0.15"/>
    <row r="383" ht="13" x14ac:dyDescent="0.15"/>
    <row r="384" ht="13" x14ac:dyDescent="0.15"/>
    <row r="385" ht="13" x14ac:dyDescent="0.15"/>
    <row r="386" ht="13" x14ac:dyDescent="0.15"/>
    <row r="387" ht="13" x14ac:dyDescent="0.15"/>
    <row r="388" ht="13" x14ac:dyDescent="0.15"/>
    <row r="389" ht="13" x14ac:dyDescent="0.15"/>
    <row r="390" ht="13" x14ac:dyDescent="0.15"/>
    <row r="391" ht="13" x14ac:dyDescent="0.15"/>
    <row r="392" ht="13" x14ac:dyDescent="0.15"/>
    <row r="393" ht="13" x14ac:dyDescent="0.15"/>
    <row r="394" ht="13" x14ac:dyDescent="0.15"/>
    <row r="395" ht="13" x14ac:dyDescent="0.15"/>
    <row r="396" ht="13" x14ac:dyDescent="0.15"/>
    <row r="397" ht="13" x14ac:dyDescent="0.15"/>
    <row r="398" ht="13" x14ac:dyDescent="0.15"/>
    <row r="399" ht="13" x14ac:dyDescent="0.15"/>
    <row r="400" ht="13" x14ac:dyDescent="0.15"/>
    <row r="401" ht="13" x14ac:dyDescent="0.15"/>
    <row r="402" ht="13" x14ac:dyDescent="0.15"/>
    <row r="403" ht="13" x14ac:dyDescent="0.15"/>
    <row r="404" ht="13" x14ac:dyDescent="0.15"/>
    <row r="405" ht="13" x14ac:dyDescent="0.15"/>
    <row r="406" ht="13" x14ac:dyDescent="0.15"/>
    <row r="407" ht="13" x14ac:dyDescent="0.15"/>
    <row r="408" ht="13" x14ac:dyDescent="0.15"/>
    <row r="409" ht="13" x14ac:dyDescent="0.15"/>
    <row r="410" ht="13" x14ac:dyDescent="0.15"/>
    <row r="411" ht="13" x14ac:dyDescent="0.15"/>
    <row r="412" ht="13" x14ac:dyDescent="0.15"/>
    <row r="413" ht="13" x14ac:dyDescent="0.15"/>
    <row r="414" ht="13" x14ac:dyDescent="0.15"/>
    <row r="415" ht="13" x14ac:dyDescent="0.15"/>
    <row r="416" ht="13" x14ac:dyDescent="0.15"/>
    <row r="417" ht="13" x14ac:dyDescent="0.15"/>
    <row r="418" ht="13" x14ac:dyDescent="0.15"/>
    <row r="419" ht="13" x14ac:dyDescent="0.15"/>
    <row r="420" ht="13" x14ac:dyDescent="0.15"/>
    <row r="421" ht="13" x14ac:dyDescent="0.15"/>
    <row r="422" ht="13" x14ac:dyDescent="0.15"/>
    <row r="423" ht="13" x14ac:dyDescent="0.15"/>
    <row r="424" ht="13" x14ac:dyDescent="0.15"/>
    <row r="425" ht="13" x14ac:dyDescent="0.15"/>
    <row r="426" ht="13" x14ac:dyDescent="0.15"/>
    <row r="427" ht="13" x14ac:dyDescent="0.15"/>
    <row r="428" ht="13" x14ac:dyDescent="0.15"/>
    <row r="429" ht="13" x14ac:dyDescent="0.15"/>
    <row r="430" ht="13" x14ac:dyDescent="0.15"/>
    <row r="431" ht="13" x14ac:dyDescent="0.15"/>
    <row r="432" ht="13" x14ac:dyDescent="0.15"/>
    <row r="433" ht="13" x14ac:dyDescent="0.15"/>
    <row r="434" ht="13" x14ac:dyDescent="0.15"/>
    <row r="435" ht="13" x14ac:dyDescent="0.15"/>
    <row r="436" ht="13" x14ac:dyDescent="0.15"/>
    <row r="437" ht="13" x14ac:dyDescent="0.15"/>
    <row r="438" ht="13" x14ac:dyDescent="0.15"/>
    <row r="439" ht="13" x14ac:dyDescent="0.15"/>
    <row r="440" ht="13" x14ac:dyDescent="0.15"/>
    <row r="441" ht="13" x14ac:dyDescent="0.15"/>
    <row r="442" ht="13" x14ac:dyDescent="0.15"/>
    <row r="443" ht="13" x14ac:dyDescent="0.15"/>
    <row r="444" ht="13" x14ac:dyDescent="0.15"/>
    <row r="445" ht="13" x14ac:dyDescent="0.15"/>
    <row r="446" ht="13" x14ac:dyDescent="0.15"/>
    <row r="447" ht="13" x14ac:dyDescent="0.15"/>
    <row r="448" ht="13" x14ac:dyDescent="0.15"/>
    <row r="449" ht="13" x14ac:dyDescent="0.15"/>
    <row r="450" ht="13" x14ac:dyDescent="0.15"/>
    <row r="451" ht="13" x14ac:dyDescent="0.15"/>
    <row r="452" ht="13" x14ac:dyDescent="0.15"/>
    <row r="453" ht="13" x14ac:dyDescent="0.15"/>
    <row r="454" ht="13" x14ac:dyDescent="0.15"/>
    <row r="455" ht="13" x14ac:dyDescent="0.15"/>
    <row r="456" ht="13" x14ac:dyDescent="0.15"/>
    <row r="457" ht="13" x14ac:dyDescent="0.15"/>
    <row r="458" ht="13" x14ac:dyDescent="0.15"/>
    <row r="459" ht="13" x14ac:dyDescent="0.15"/>
    <row r="460" ht="13" x14ac:dyDescent="0.15"/>
    <row r="461" ht="13" x14ac:dyDescent="0.15"/>
    <row r="462" ht="13" x14ac:dyDescent="0.15"/>
    <row r="463" ht="13" x14ac:dyDescent="0.15"/>
    <row r="464" ht="13" x14ac:dyDescent="0.15"/>
    <row r="465" ht="13" x14ac:dyDescent="0.15"/>
    <row r="466" ht="13" x14ac:dyDescent="0.15"/>
    <row r="467" ht="13" x14ac:dyDescent="0.15"/>
    <row r="468" ht="13" x14ac:dyDescent="0.15"/>
    <row r="469" ht="13" x14ac:dyDescent="0.15"/>
    <row r="470" ht="13" x14ac:dyDescent="0.15"/>
    <row r="471" ht="13" x14ac:dyDescent="0.15"/>
    <row r="472" ht="13" x14ac:dyDescent="0.15"/>
    <row r="473" ht="13" x14ac:dyDescent="0.15"/>
    <row r="474" ht="13" x14ac:dyDescent="0.15"/>
    <row r="475" ht="13" x14ac:dyDescent="0.15"/>
    <row r="476" ht="13" x14ac:dyDescent="0.15"/>
    <row r="477" ht="13" x14ac:dyDescent="0.15"/>
    <row r="478" ht="13" x14ac:dyDescent="0.15"/>
    <row r="479" ht="13" x14ac:dyDescent="0.15"/>
    <row r="480" ht="13" x14ac:dyDescent="0.15"/>
    <row r="481" ht="13" x14ac:dyDescent="0.15"/>
    <row r="482" ht="13" x14ac:dyDescent="0.15"/>
    <row r="483" ht="13" x14ac:dyDescent="0.15"/>
    <row r="484" ht="13" x14ac:dyDescent="0.15"/>
    <row r="485" ht="13" x14ac:dyDescent="0.15"/>
    <row r="486" ht="13" x14ac:dyDescent="0.15"/>
    <row r="487" ht="13" x14ac:dyDescent="0.15"/>
    <row r="488" ht="13" x14ac:dyDescent="0.15"/>
    <row r="489" ht="13" x14ac:dyDescent="0.15"/>
    <row r="490" ht="13" x14ac:dyDescent="0.15"/>
    <row r="491" ht="13" x14ac:dyDescent="0.15"/>
    <row r="492" ht="13" x14ac:dyDescent="0.15"/>
    <row r="493" ht="13" x14ac:dyDescent="0.15"/>
    <row r="494" ht="13" x14ac:dyDescent="0.15"/>
    <row r="495" ht="13" x14ac:dyDescent="0.15"/>
    <row r="496" ht="13" x14ac:dyDescent="0.15"/>
    <row r="497" ht="13" x14ac:dyDescent="0.15"/>
    <row r="498" ht="13" x14ac:dyDescent="0.15"/>
    <row r="499" ht="13" x14ac:dyDescent="0.15"/>
    <row r="500" ht="13" x14ac:dyDescent="0.15"/>
    <row r="501" ht="13" x14ac:dyDescent="0.15"/>
    <row r="502" ht="13" x14ac:dyDescent="0.15"/>
    <row r="503" ht="13" x14ac:dyDescent="0.15"/>
    <row r="504" ht="13" x14ac:dyDescent="0.15"/>
    <row r="505" ht="13" x14ac:dyDescent="0.15"/>
    <row r="506" ht="13" x14ac:dyDescent="0.15"/>
    <row r="507" ht="13" x14ac:dyDescent="0.15"/>
    <row r="508" ht="13" x14ac:dyDescent="0.15"/>
    <row r="509" ht="13" x14ac:dyDescent="0.15"/>
    <row r="510" ht="13" x14ac:dyDescent="0.15"/>
    <row r="511" ht="13" x14ac:dyDescent="0.15"/>
    <row r="512" ht="13" x14ac:dyDescent="0.15"/>
    <row r="513" ht="13" x14ac:dyDescent="0.15"/>
    <row r="514" ht="13" x14ac:dyDescent="0.15"/>
    <row r="515" ht="13" x14ac:dyDescent="0.15"/>
    <row r="516" ht="13" x14ac:dyDescent="0.15"/>
    <row r="517" ht="13" x14ac:dyDescent="0.15"/>
    <row r="518" ht="13" x14ac:dyDescent="0.15"/>
    <row r="519" ht="13" x14ac:dyDescent="0.15"/>
    <row r="520" ht="13" x14ac:dyDescent="0.15"/>
    <row r="521" ht="13" x14ac:dyDescent="0.15"/>
    <row r="522" ht="13" x14ac:dyDescent="0.15"/>
    <row r="523" ht="13" x14ac:dyDescent="0.15"/>
    <row r="524" ht="13" x14ac:dyDescent="0.15"/>
    <row r="525" ht="13" x14ac:dyDescent="0.15"/>
    <row r="526" ht="13" x14ac:dyDescent="0.15"/>
    <row r="527" ht="13" x14ac:dyDescent="0.15"/>
    <row r="528" ht="13" x14ac:dyDescent="0.15"/>
    <row r="529" ht="13" x14ac:dyDescent="0.15"/>
    <row r="530" ht="13" x14ac:dyDescent="0.15"/>
    <row r="531" ht="13" x14ac:dyDescent="0.15"/>
    <row r="532" ht="13" x14ac:dyDescent="0.15"/>
    <row r="533" ht="13" x14ac:dyDescent="0.15"/>
    <row r="534" ht="13" x14ac:dyDescent="0.15"/>
    <row r="535" ht="13" x14ac:dyDescent="0.15"/>
    <row r="536" ht="13" x14ac:dyDescent="0.15"/>
    <row r="537" ht="13" x14ac:dyDescent="0.15"/>
    <row r="538" ht="13" x14ac:dyDescent="0.15"/>
    <row r="539" ht="13" x14ac:dyDescent="0.15"/>
    <row r="540" ht="13" x14ac:dyDescent="0.15"/>
    <row r="541" ht="13" x14ac:dyDescent="0.15"/>
    <row r="542" ht="13" x14ac:dyDescent="0.15"/>
    <row r="543" ht="13" x14ac:dyDescent="0.15"/>
    <row r="544" ht="13" x14ac:dyDescent="0.15"/>
    <row r="545" ht="13" x14ac:dyDescent="0.15"/>
    <row r="546" ht="13" x14ac:dyDescent="0.15"/>
    <row r="547" ht="13" x14ac:dyDescent="0.15"/>
    <row r="548" ht="13" x14ac:dyDescent="0.15"/>
    <row r="549" ht="13" x14ac:dyDescent="0.15"/>
    <row r="550" ht="13" x14ac:dyDescent="0.15"/>
    <row r="551" ht="13" x14ac:dyDescent="0.15"/>
    <row r="552" ht="13" x14ac:dyDescent="0.15"/>
    <row r="553" ht="13" x14ac:dyDescent="0.15"/>
    <row r="554" ht="13" x14ac:dyDescent="0.15"/>
    <row r="555" ht="13" x14ac:dyDescent="0.15"/>
    <row r="556" ht="13" x14ac:dyDescent="0.15"/>
    <row r="557" ht="13" x14ac:dyDescent="0.15"/>
    <row r="558" ht="13" x14ac:dyDescent="0.15"/>
    <row r="559" ht="13" x14ac:dyDescent="0.15"/>
    <row r="560" ht="13" x14ac:dyDescent="0.15"/>
    <row r="561" ht="13" x14ac:dyDescent="0.15"/>
    <row r="562" ht="13" x14ac:dyDescent="0.15"/>
    <row r="563" ht="13" x14ac:dyDescent="0.15"/>
    <row r="564" ht="13" x14ac:dyDescent="0.15"/>
    <row r="565" ht="13" x14ac:dyDescent="0.15"/>
    <row r="566" ht="13" x14ac:dyDescent="0.15"/>
    <row r="567" ht="13" x14ac:dyDescent="0.15"/>
    <row r="568" ht="13" x14ac:dyDescent="0.15"/>
    <row r="569" ht="13" x14ac:dyDescent="0.15"/>
    <row r="570" ht="13" x14ac:dyDescent="0.15"/>
    <row r="571" ht="13" x14ac:dyDescent="0.15"/>
    <row r="572" ht="13" x14ac:dyDescent="0.15"/>
    <row r="573" ht="13" x14ac:dyDescent="0.15"/>
    <row r="574" ht="13" x14ac:dyDescent="0.15"/>
    <row r="575" ht="13" x14ac:dyDescent="0.15"/>
    <row r="576" ht="13" x14ac:dyDescent="0.15"/>
    <row r="577" ht="13" x14ac:dyDescent="0.15"/>
    <row r="578" ht="13" x14ac:dyDescent="0.15"/>
    <row r="579" ht="13" x14ac:dyDescent="0.15"/>
    <row r="580" ht="13" x14ac:dyDescent="0.15"/>
    <row r="581" ht="13" x14ac:dyDescent="0.15"/>
    <row r="582" ht="13" x14ac:dyDescent="0.15"/>
    <row r="583" ht="13" x14ac:dyDescent="0.15"/>
    <row r="584" ht="13" x14ac:dyDescent="0.15"/>
    <row r="585" ht="13" x14ac:dyDescent="0.15"/>
    <row r="586" ht="13" x14ac:dyDescent="0.15"/>
    <row r="587" ht="13" x14ac:dyDescent="0.15"/>
    <row r="588" ht="13" x14ac:dyDescent="0.15"/>
    <row r="589" ht="13" x14ac:dyDescent="0.15"/>
    <row r="590" ht="13" x14ac:dyDescent="0.15"/>
    <row r="591" ht="13" x14ac:dyDescent="0.15"/>
    <row r="592" ht="13" x14ac:dyDescent="0.15"/>
    <row r="593" ht="13" x14ac:dyDescent="0.15"/>
    <row r="594" ht="13" x14ac:dyDescent="0.15"/>
    <row r="595" ht="13" x14ac:dyDescent="0.15"/>
    <row r="596" ht="13" x14ac:dyDescent="0.15"/>
    <row r="597" ht="13" x14ac:dyDescent="0.15"/>
    <row r="598" ht="13" x14ac:dyDescent="0.15"/>
    <row r="599" ht="13" x14ac:dyDescent="0.15"/>
    <row r="600" ht="13" x14ac:dyDescent="0.15"/>
    <row r="601" ht="13" x14ac:dyDescent="0.15"/>
    <row r="602" ht="13" x14ac:dyDescent="0.15"/>
    <row r="603" ht="13" x14ac:dyDescent="0.15"/>
    <row r="604" ht="13" x14ac:dyDescent="0.15"/>
    <row r="605" ht="13" x14ac:dyDescent="0.15"/>
    <row r="606" ht="13" x14ac:dyDescent="0.15"/>
    <row r="607" ht="13" x14ac:dyDescent="0.15"/>
    <row r="608" ht="13" x14ac:dyDescent="0.15"/>
    <row r="609" ht="13" x14ac:dyDescent="0.15"/>
    <row r="610" ht="13" x14ac:dyDescent="0.15"/>
    <row r="611" ht="13" x14ac:dyDescent="0.15"/>
    <row r="612" ht="13" x14ac:dyDescent="0.15"/>
    <row r="613" ht="13" x14ac:dyDescent="0.15"/>
    <row r="614" ht="13" x14ac:dyDescent="0.15"/>
    <row r="615" ht="13" x14ac:dyDescent="0.15"/>
    <row r="616" ht="13" x14ac:dyDescent="0.15"/>
    <row r="617" ht="13" x14ac:dyDescent="0.15"/>
    <row r="618" ht="13" x14ac:dyDescent="0.15"/>
    <row r="619" ht="13" x14ac:dyDescent="0.15"/>
    <row r="620" ht="13" x14ac:dyDescent="0.15"/>
    <row r="621" ht="13" x14ac:dyDescent="0.15"/>
    <row r="622" ht="13" x14ac:dyDescent="0.15"/>
    <row r="623" ht="13" x14ac:dyDescent="0.15"/>
    <row r="624" ht="13" x14ac:dyDescent="0.15"/>
    <row r="625" ht="13" x14ac:dyDescent="0.15"/>
    <row r="626" ht="13" x14ac:dyDescent="0.15"/>
    <row r="627" ht="13" x14ac:dyDescent="0.15"/>
    <row r="628" ht="13" x14ac:dyDescent="0.15"/>
    <row r="629" ht="13" x14ac:dyDescent="0.15"/>
    <row r="630" ht="13" x14ac:dyDescent="0.15"/>
    <row r="631" ht="13" x14ac:dyDescent="0.15"/>
    <row r="632" ht="13" x14ac:dyDescent="0.15"/>
    <row r="633" ht="13" x14ac:dyDescent="0.15"/>
    <row r="634" ht="13" x14ac:dyDescent="0.15"/>
    <row r="635" ht="13" x14ac:dyDescent="0.15"/>
    <row r="636" ht="13" x14ac:dyDescent="0.15"/>
    <row r="637" ht="13" x14ac:dyDescent="0.15"/>
    <row r="638" ht="13" x14ac:dyDescent="0.15"/>
    <row r="639" ht="13" x14ac:dyDescent="0.15"/>
    <row r="640" ht="13" x14ac:dyDescent="0.15"/>
    <row r="641" ht="13" x14ac:dyDescent="0.15"/>
    <row r="642" ht="13" x14ac:dyDescent="0.15"/>
    <row r="643" ht="13" x14ac:dyDescent="0.15"/>
    <row r="644" ht="13" x14ac:dyDescent="0.15"/>
    <row r="645" ht="13" x14ac:dyDescent="0.15"/>
    <row r="646" ht="13" x14ac:dyDescent="0.15"/>
    <row r="647" ht="13" x14ac:dyDescent="0.15"/>
    <row r="648" ht="13" x14ac:dyDescent="0.15"/>
    <row r="649" ht="13" x14ac:dyDescent="0.15"/>
    <row r="650" ht="13" x14ac:dyDescent="0.15"/>
    <row r="651" ht="13" x14ac:dyDescent="0.15"/>
    <row r="652" ht="13" x14ac:dyDescent="0.15"/>
    <row r="653" ht="13" x14ac:dyDescent="0.15"/>
    <row r="654" ht="13" x14ac:dyDescent="0.15"/>
    <row r="655" ht="13" x14ac:dyDescent="0.15"/>
    <row r="656" ht="13" x14ac:dyDescent="0.15"/>
    <row r="657" ht="13" x14ac:dyDescent="0.15"/>
    <row r="658" ht="13" x14ac:dyDescent="0.15"/>
    <row r="659" ht="13" x14ac:dyDescent="0.15"/>
    <row r="660" ht="13" x14ac:dyDescent="0.15"/>
    <row r="661" ht="13" x14ac:dyDescent="0.15"/>
    <row r="662" ht="13" x14ac:dyDescent="0.15"/>
    <row r="663" ht="13" x14ac:dyDescent="0.15"/>
    <row r="664" ht="13" x14ac:dyDescent="0.15"/>
    <row r="665" ht="13" x14ac:dyDescent="0.15"/>
    <row r="666" ht="13" x14ac:dyDescent="0.15"/>
    <row r="667" ht="13" x14ac:dyDescent="0.15"/>
    <row r="668" ht="13" x14ac:dyDescent="0.15"/>
    <row r="669" ht="13" x14ac:dyDescent="0.15"/>
    <row r="670" ht="13" x14ac:dyDescent="0.15"/>
    <row r="671" ht="13" x14ac:dyDescent="0.15"/>
    <row r="672" ht="13" x14ac:dyDescent="0.15"/>
    <row r="673" ht="13" x14ac:dyDescent="0.15"/>
    <row r="674" ht="13" x14ac:dyDescent="0.15"/>
    <row r="675" ht="13" x14ac:dyDescent="0.15"/>
    <row r="676" ht="13" x14ac:dyDescent="0.15"/>
    <row r="677" ht="13" x14ac:dyDescent="0.15"/>
    <row r="678" ht="13" x14ac:dyDescent="0.15"/>
    <row r="679" ht="13" x14ac:dyDescent="0.15"/>
    <row r="680" ht="13" x14ac:dyDescent="0.15"/>
    <row r="681" ht="13" x14ac:dyDescent="0.15"/>
    <row r="682" ht="13" x14ac:dyDescent="0.15"/>
    <row r="683" ht="13" x14ac:dyDescent="0.15"/>
    <row r="684" ht="13" x14ac:dyDescent="0.15"/>
    <row r="685" ht="13" x14ac:dyDescent="0.15"/>
    <row r="686" ht="13" x14ac:dyDescent="0.15"/>
    <row r="687" ht="13" x14ac:dyDescent="0.15"/>
    <row r="688" ht="13" x14ac:dyDescent="0.15"/>
    <row r="689" ht="13" x14ac:dyDescent="0.15"/>
    <row r="690" ht="13" x14ac:dyDescent="0.15"/>
    <row r="691" ht="13" x14ac:dyDescent="0.15"/>
    <row r="692" ht="13" x14ac:dyDescent="0.15"/>
    <row r="693" ht="13" x14ac:dyDescent="0.15"/>
    <row r="694" ht="13" x14ac:dyDescent="0.15"/>
    <row r="695" ht="13" x14ac:dyDescent="0.15"/>
    <row r="696" ht="13" x14ac:dyDescent="0.15"/>
    <row r="697" ht="13" x14ac:dyDescent="0.15"/>
    <row r="698" ht="13" x14ac:dyDescent="0.15"/>
    <row r="699" ht="13" x14ac:dyDescent="0.15"/>
    <row r="700" ht="13" x14ac:dyDescent="0.15"/>
    <row r="701" ht="13" x14ac:dyDescent="0.15"/>
    <row r="702" ht="13" x14ac:dyDescent="0.15"/>
    <row r="703" ht="13" x14ac:dyDescent="0.15"/>
    <row r="704" ht="13" x14ac:dyDescent="0.15"/>
    <row r="705" ht="13" x14ac:dyDescent="0.15"/>
    <row r="706" ht="13" x14ac:dyDescent="0.15"/>
    <row r="707" ht="13" x14ac:dyDescent="0.15"/>
    <row r="708" ht="13" x14ac:dyDescent="0.15"/>
    <row r="709" ht="13" x14ac:dyDescent="0.15"/>
    <row r="710" ht="13" x14ac:dyDescent="0.15"/>
    <row r="711" ht="13" x14ac:dyDescent="0.15"/>
    <row r="712" ht="13" x14ac:dyDescent="0.15"/>
    <row r="713" ht="13" x14ac:dyDescent="0.15"/>
    <row r="714" ht="13" x14ac:dyDescent="0.15"/>
    <row r="715" ht="13" x14ac:dyDescent="0.15"/>
    <row r="716" ht="13" x14ac:dyDescent="0.15"/>
    <row r="717" ht="13" x14ac:dyDescent="0.15"/>
    <row r="718" ht="13" x14ac:dyDescent="0.15"/>
    <row r="719" ht="13" x14ac:dyDescent="0.15"/>
    <row r="720" ht="13" x14ac:dyDescent="0.15"/>
    <row r="721" ht="13" x14ac:dyDescent="0.15"/>
    <row r="722" ht="13" x14ac:dyDescent="0.15"/>
    <row r="723" ht="13" x14ac:dyDescent="0.15"/>
    <row r="724" ht="13" x14ac:dyDescent="0.15"/>
    <row r="725" ht="13" x14ac:dyDescent="0.15"/>
    <row r="726" ht="13" x14ac:dyDescent="0.15"/>
    <row r="727" ht="13" x14ac:dyDescent="0.15"/>
    <row r="728" ht="13" x14ac:dyDescent="0.15"/>
    <row r="729" ht="13" x14ac:dyDescent="0.15"/>
    <row r="730" ht="13" x14ac:dyDescent="0.15"/>
    <row r="731" ht="13" x14ac:dyDescent="0.15"/>
    <row r="732" ht="13" x14ac:dyDescent="0.15"/>
    <row r="733" ht="13" x14ac:dyDescent="0.15"/>
    <row r="734" ht="13" x14ac:dyDescent="0.15"/>
    <row r="735" ht="13" x14ac:dyDescent="0.15"/>
    <row r="736" ht="13" x14ac:dyDescent="0.15"/>
    <row r="737" ht="13" x14ac:dyDescent="0.15"/>
    <row r="738" ht="13" x14ac:dyDescent="0.15"/>
    <row r="739" ht="13" x14ac:dyDescent="0.15"/>
    <row r="740" ht="13" x14ac:dyDescent="0.15"/>
    <row r="741" ht="13" x14ac:dyDescent="0.15"/>
    <row r="742" ht="13" x14ac:dyDescent="0.15"/>
    <row r="743" ht="13" x14ac:dyDescent="0.15"/>
    <row r="744" ht="13" x14ac:dyDescent="0.15"/>
    <row r="745" ht="13" x14ac:dyDescent="0.15"/>
    <row r="746" ht="13" x14ac:dyDescent="0.15"/>
    <row r="747" ht="13" x14ac:dyDescent="0.15"/>
    <row r="748" ht="13" x14ac:dyDescent="0.15"/>
    <row r="749" ht="13" x14ac:dyDescent="0.15"/>
    <row r="750" ht="13" x14ac:dyDescent="0.15"/>
    <row r="751" ht="13" x14ac:dyDescent="0.15"/>
    <row r="752" ht="13" x14ac:dyDescent="0.15"/>
    <row r="753" ht="13" x14ac:dyDescent="0.15"/>
    <row r="754" ht="13" x14ac:dyDescent="0.15"/>
    <row r="755" ht="13" x14ac:dyDescent="0.15"/>
    <row r="756" ht="13" x14ac:dyDescent="0.15"/>
    <row r="757" ht="13" x14ac:dyDescent="0.15"/>
    <row r="758" ht="13" x14ac:dyDescent="0.15"/>
    <row r="759" ht="13" x14ac:dyDescent="0.15"/>
    <row r="760" ht="13" x14ac:dyDescent="0.15"/>
    <row r="761" ht="13" x14ac:dyDescent="0.15"/>
    <row r="762" ht="13" x14ac:dyDescent="0.15"/>
    <row r="763" ht="13" x14ac:dyDescent="0.15"/>
    <row r="764" ht="13" x14ac:dyDescent="0.15"/>
    <row r="765" ht="13" x14ac:dyDescent="0.15"/>
    <row r="766" ht="13" x14ac:dyDescent="0.15"/>
    <row r="767" ht="13" x14ac:dyDescent="0.15"/>
    <row r="768" ht="13" x14ac:dyDescent="0.15"/>
    <row r="769" ht="13" x14ac:dyDescent="0.15"/>
    <row r="770" ht="13" x14ac:dyDescent="0.15"/>
    <row r="771" ht="13" x14ac:dyDescent="0.15"/>
    <row r="772" ht="13" x14ac:dyDescent="0.15"/>
    <row r="773" ht="13" x14ac:dyDescent="0.15"/>
    <row r="774" ht="13" x14ac:dyDescent="0.15"/>
    <row r="775" ht="13" x14ac:dyDescent="0.15"/>
    <row r="776" ht="13" x14ac:dyDescent="0.15"/>
    <row r="777" ht="13" x14ac:dyDescent="0.15"/>
    <row r="778" ht="13" x14ac:dyDescent="0.15"/>
    <row r="779" ht="13" x14ac:dyDescent="0.15"/>
    <row r="780" ht="13" x14ac:dyDescent="0.15"/>
    <row r="781" ht="13" x14ac:dyDescent="0.15"/>
    <row r="782" ht="13" x14ac:dyDescent="0.15"/>
    <row r="783" ht="13" x14ac:dyDescent="0.15"/>
    <row r="784" ht="13" x14ac:dyDescent="0.15"/>
    <row r="785" ht="13" x14ac:dyDescent="0.15"/>
    <row r="786" ht="13" x14ac:dyDescent="0.15"/>
    <row r="787" ht="13" x14ac:dyDescent="0.15"/>
    <row r="788" ht="13" x14ac:dyDescent="0.15"/>
    <row r="789" ht="13" x14ac:dyDescent="0.15"/>
    <row r="790" ht="13" x14ac:dyDescent="0.15"/>
    <row r="791" ht="13" x14ac:dyDescent="0.15"/>
    <row r="792" ht="13" x14ac:dyDescent="0.15"/>
    <row r="793" ht="13" x14ac:dyDescent="0.15"/>
    <row r="794" ht="13" x14ac:dyDescent="0.15"/>
    <row r="795" ht="13" x14ac:dyDescent="0.15"/>
    <row r="796" ht="13" x14ac:dyDescent="0.15"/>
    <row r="797" ht="13" x14ac:dyDescent="0.15"/>
    <row r="798" ht="13" x14ac:dyDescent="0.15"/>
    <row r="799" ht="13" x14ac:dyDescent="0.15"/>
    <row r="800" ht="13" x14ac:dyDescent="0.15"/>
    <row r="801" ht="13" x14ac:dyDescent="0.15"/>
    <row r="802" ht="13" x14ac:dyDescent="0.15"/>
    <row r="803" ht="13" x14ac:dyDescent="0.15"/>
    <row r="804" ht="13" x14ac:dyDescent="0.15"/>
    <row r="805" ht="13" x14ac:dyDescent="0.15"/>
    <row r="806" ht="13" x14ac:dyDescent="0.15"/>
    <row r="807" ht="13" x14ac:dyDescent="0.15"/>
    <row r="808" ht="13" x14ac:dyDescent="0.15"/>
    <row r="809" ht="13" x14ac:dyDescent="0.15"/>
    <row r="810" ht="13" x14ac:dyDescent="0.15"/>
    <row r="811" ht="13" x14ac:dyDescent="0.15"/>
    <row r="812" ht="13" x14ac:dyDescent="0.15"/>
    <row r="813" ht="13" x14ac:dyDescent="0.15"/>
    <row r="814" ht="13" x14ac:dyDescent="0.15"/>
    <row r="815" ht="13" x14ac:dyDescent="0.15"/>
    <row r="816" ht="13" x14ac:dyDescent="0.15"/>
    <row r="817" ht="13" x14ac:dyDescent="0.15"/>
    <row r="818" ht="13" x14ac:dyDescent="0.15"/>
    <row r="819" ht="13" x14ac:dyDescent="0.15"/>
    <row r="820" ht="13" x14ac:dyDescent="0.15"/>
    <row r="821" ht="13" x14ac:dyDescent="0.15"/>
    <row r="822" ht="13" x14ac:dyDescent="0.15"/>
    <row r="823" ht="13" x14ac:dyDescent="0.15"/>
    <row r="824" ht="13" x14ac:dyDescent="0.15"/>
    <row r="825" ht="13" x14ac:dyDescent="0.15"/>
    <row r="826" ht="13" x14ac:dyDescent="0.15"/>
    <row r="827" ht="13" x14ac:dyDescent="0.15"/>
    <row r="828" ht="13" x14ac:dyDescent="0.15"/>
    <row r="829" ht="13" x14ac:dyDescent="0.15"/>
    <row r="830" ht="13" x14ac:dyDescent="0.15"/>
    <row r="831" ht="13" x14ac:dyDescent="0.15"/>
    <row r="832" ht="13" x14ac:dyDescent="0.15"/>
    <row r="833" ht="13" x14ac:dyDescent="0.15"/>
    <row r="834" ht="13" x14ac:dyDescent="0.15"/>
    <row r="835" ht="13" x14ac:dyDescent="0.15"/>
    <row r="836" ht="13" x14ac:dyDescent="0.15"/>
    <row r="837" ht="13" x14ac:dyDescent="0.15"/>
    <row r="838" ht="13" x14ac:dyDescent="0.15"/>
    <row r="839" ht="13" x14ac:dyDescent="0.15"/>
    <row r="840" ht="13" x14ac:dyDescent="0.15"/>
    <row r="841" ht="13" x14ac:dyDescent="0.15"/>
    <row r="842" ht="13" x14ac:dyDescent="0.15"/>
    <row r="843" ht="13" x14ac:dyDescent="0.15"/>
    <row r="844" ht="13" x14ac:dyDescent="0.15"/>
    <row r="845" ht="13" x14ac:dyDescent="0.15"/>
    <row r="846" ht="13" x14ac:dyDescent="0.15"/>
    <row r="847" ht="13" x14ac:dyDescent="0.15"/>
    <row r="848" ht="13" x14ac:dyDescent="0.15"/>
    <row r="849" ht="13" x14ac:dyDescent="0.15"/>
    <row r="850" ht="13" x14ac:dyDescent="0.15"/>
    <row r="851" ht="13" x14ac:dyDescent="0.15"/>
    <row r="852" ht="13" x14ac:dyDescent="0.15"/>
    <row r="853" ht="13" x14ac:dyDescent="0.15"/>
    <row r="854" ht="13" x14ac:dyDescent="0.15"/>
    <row r="855" ht="13" x14ac:dyDescent="0.15"/>
    <row r="856" ht="13" x14ac:dyDescent="0.15"/>
    <row r="857" ht="13" x14ac:dyDescent="0.15"/>
    <row r="858" ht="13" x14ac:dyDescent="0.15"/>
    <row r="859" ht="13" x14ac:dyDescent="0.15"/>
    <row r="860" ht="13" x14ac:dyDescent="0.15"/>
    <row r="861" ht="13" x14ac:dyDescent="0.15"/>
    <row r="862" ht="13" x14ac:dyDescent="0.15"/>
    <row r="863" ht="13" x14ac:dyDescent="0.15"/>
    <row r="864" ht="13" x14ac:dyDescent="0.15"/>
    <row r="865" ht="13" x14ac:dyDescent="0.15"/>
    <row r="866" ht="13" x14ac:dyDescent="0.15"/>
    <row r="867" ht="13" x14ac:dyDescent="0.15"/>
    <row r="868" ht="13" x14ac:dyDescent="0.15"/>
    <row r="869" ht="13" x14ac:dyDescent="0.15"/>
    <row r="870" ht="13" x14ac:dyDescent="0.15"/>
    <row r="871" ht="13" x14ac:dyDescent="0.15"/>
    <row r="872" ht="13" x14ac:dyDescent="0.15"/>
    <row r="873" ht="13" x14ac:dyDescent="0.15"/>
    <row r="874" ht="13" x14ac:dyDescent="0.15"/>
    <row r="875" ht="13" x14ac:dyDescent="0.15"/>
    <row r="876" ht="13" x14ac:dyDescent="0.15"/>
    <row r="877" ht="13" x14ac:dyDescent="0.15"/>
    <row r="878" ht="13" x14ac:dyDescent="0.15"/>
    <row r="879" ht="13" x14ac:dyDescent="0.15"/>
    <row r="880" ht="13" x14ac:dyDescent="0.15"/>
    <row r="881" ht="13" x14ac:dyDescent="0.15"/>
    <row r="882" ht="13" x14ac:dyDescent="0.15"/>
    <row r="883" ht="13" x14ac:dyDescent="0.15"/>
    <row r="884" ht="13" x14ac:dyDescent="0.15"/>
    <row r="885" ht="13" x14ac:dyDescent="0.15"/>
    <row r="886" ht="13" x14ac:dyDescent="0.15"/>
    <row r="887" ht="13" x14ac:dyDescent="0.15"/>
    <row r="888" ht="13" x14ac:dyDescent="0.15"/>
    <row r="889" ht="13" x14ac:dyDescent="0.15"/>
    <row r="890" ht="13" x14ac:dyDescent="0.15"/>
    <row r="891" ht="13" x14ac:dyDescent="0.15"/>
    <row r="892" ht="13" x14ac:dyDescent="0.15"/>
    <row r="893" ht="13" x14ac:dyDescent="0.15"/>
    <row r="894" ht="13" x14ac:dyDescent="0.15"/>
    <row r="895" ht="13" x14ac:dyDescent="0.15"/>
    <row r="896" ht="13" x14ac:dyDescent="0.15"/>
    <row r="897" ht="13" x14ac:dyDescent="0.15"/>
    <row r="898" ht="13" x14ac:dyDescent="0.15"/>
    <row r="899" ht="13" x14ac:dyDescent="0.15"/>
    <row r="900" ht="13" x14ac:dyDescent="0.15"/>
    <row r="901" ht="13" x14ac:dyDescent="0.15"/>
    <row r="902" ht="13" x14ac:dyDescent="0.15"/>
    <row r="903" ht="13" x14ac:dyDescent="0.15"/>
    <row r="904" ht="13" x14ac:dyDescent="0.15"/>
    <row r="905" ht="13" x14ac:dyDescent="0.15"/>
    <row r="906" ht="13" x14ac:dyDescent="0.15"/>
    <row r="907" ht="13" x14ac:dyDescent="0.15"/>
    <row r="908" ht="13" x14ac:dyDescent="0.15"/>
    <row r="909" ht="13" x14ac:dyDescent="0.15"/>
    <row r="910" ht="13" x14ac:dyDescent="0.15"/>
    <row r="911" ht="13" x14ac:dyDescent="0.15"/>
    <row r="912" ht="13" x14ac:dyDescent="0.15"/>
    <row r="913" ht="13" x14ac:dyDescent="0.15"/>
    <row r="914" ht="13" x14ac:dyDescent="0.15"/>
    <row r="915" ht="13" x14ac:dyDescent="0.15"/>
    <row r="916" ht="13" x14ac:dyDescent="0.15"/>
    <row r="917" ht="13" x14ac:dyDescent="0.15"/>
    <row r="918" ht="13" x14ac:dyDescent="0.15"/>
    <row r="919" ht="13" x14ac:dyDescent="0.15"/>
    <row r="920" ht="13" x14ac:dyDescent="0.15"/>
    <row r="921" ht="13" x14ac:dyDescent="0.15"/>
    <row r="922" ht="13" x14ac:dyDescent="0.15"/>
    <row r="923" ht="13" x14ac:dyDescent="0.15"/>
    <row r="924" ht="13" x14ac:dyDescent="0.15"/>
    <row r="925" ht="13" x14ac:dyDescent="0.15"/>
    <row r="926" ht="13" x14ac:dyDescent="0.15"/>
    <row r="927" ht="13" x14ac:dyDescent="0.15"/>
    <row r="928" ht="13" x14ac:dyDescent="0.15"/>
    <row r="929" ht="13" x14ac:dyDescent="0.15"/>
    <row r="930" ht="13" x14ac:dyDescent="0.15"/>
    <row r="931" ht="13" x14ac:dyDescent="0.15"/>
    <row r="932" ht="13" x14ac:dyDescent="0.15"/>
    <row r="933" ht="13" x14ac:dyDescent="0.15"/>
    <row r="934" ht="13" x14ac:dyDescent="0.15"/>
    <row r="935" ht="13" x14ac:dyDescent="0.15"/>
    <row r="936" ht="13" x14ac:dyDescent="0.15"/>
    <row r="937" ht="13" x14ac:dyDescent="0.15"/>
    <row r="938" ht="13" x14ac:dyDescent="0.15"/>
    <row r="939" ht="13" x14ac:dyDescent="0.15"/>
    <row r="940" ht="13" x14ac:dyDescent="0.15"/>
    <row r="941" ht="13" x14ac:dyDescent="0.15"/>
    <row r="942" ht="13" x14ac:dyDescent="0.15"/>
    <row r="943" ht="13" x14ac:dyDescent="0.15"/>
    <row r="944" ht="13" x14ac:dyDescent="0.15"/>
    <row r="945" ht="13" x14ac:dyDescent="0.15"/>
    <row r="946" ht="13" x14ac:dyDescent="0.15"/>
    <row r="947" ht="13" x14ac:dyDescent="0.15"/>
    <row r="948" ht="13" x14ac:dyDescent="0.15"/>
    <row r="949" ht="13" x14ac:dyDescent="0.15"/>
    <row r="950" ht="13" x14ac:dyDescent="0.15"/>
    <row r="951" ht="13" x14ac:dyDescent="0.15"/>
    <row r="952" ht="13" x14ac:dyDescent="0.15"/>
    <row r="953" ht="13" x14ac:dyDescent="0.15"/>
    <row r="954" ht="13" x14ac:dyDescent="0.15"/>
    <row r="955" ht="13" x14ac:dyDescent="0.15"/>
    <row r="956" ht="13" x14ac:dyDescent="0.15"/>
    <row r="957" ht="13" x14ac:dyDescent="0.15"/>
    <row r="958" ht="13" x14ac:dyDescent="0.15"/>
    <row r="959" ht="13" x14ac:dyDescent="0.15"/>
    <row r="960" ht="13" x14ac:dyDescent="0.15"/>
    <row r="961" ht="13" x14ac:dyDescent="0.15"/>
    <row r="962" ht="13" x14ac:dyDescent="0.15"/>
    <row r="963" ht="13" x14ac:dyDescent="0.15"/>
    <row r="964" ht="13" x14ac:dyDescent="0.15"/>
    <row r="965" ht="13" x14ac:dyDescent="0.15"/>
    <row r="966" ht="13" x14ac:dyDescent="0.15"/>
    <row r="967" ht="13" x14ac:dyDescent="0.15"/>
    <row r="968" ht="13" x14ac:dyDescent="0.15"/>
    <row r="969" ht="13" x14ac:dyDescent="0.15"/>
    <row r="970" ht="13" x14ac:dyDescent="0.15"/>
    <row r="971" ht="13" x14ac:dyDescent="0.15"/>
    <row r="972" ht="13" x14ac:dyDescent="0.15"/>
    <row r="973" ht="13" x14ac:dyDescent="0.15"/>
    <row r="974" ht="13" x14ac:dyDescent="0.15"/>
    <row r="975" ht="13" x14ac:dyDescent="0.15"/>
    <row r="976" ht="13" x14ac:dyDescent="0.15"/>
    <row r="977" ht="13" x14ac:dyDescent="0.15"/>
    <row r="978" ht="13" x14ac:dyDescent="0.15"/>
    <row r="979" ht="13" x14ac:dyDescent="0.15"/>
    <row r="980" ht="13" x14ac:dyDescent="0.15"/>
    <row r="981" ht="13" x14ac:dyDescent="0.15"/>
    <row r="982" ht="13" x14ac:dyDescent="0.15"/>
    <row r="983" ht="13" x14ac:dyDescent="0.15"/>
    <row r="984" ht="13" x14ac:dyDescent="0.15"/>
    <row r="985" ht="13" x14ac:dyDescent="0.15"/>
    <row r="986" ht="13" x14ac:dyDescent="0.15"/>
    <row r="987" ht="13" x14ac:dyDescent="0.15"/>
    <row r="988" ht="13" x14ac:dyDescent="0.15"/>
    <row r="989" ht="13" x14ac:dyDescent="0.15"/>
    <row r="990" ht="13" x14ac:dyDescent="0.15"/>
    <row r="991" ht="13" x14ac:dyDescent="0.15"/>
    <row r="992" ht="13" x14ac:dyDescent="0.15"/>
    <row r="993" ht="13" x14ac:dyDescent="0.15"/>
    <row r="994" ht="13" x14ac:dyDescent="0.15"/>
    <row r="995" ht="13" x14ac:dyDescent="0.15"/>
    <row r="996" ht="13" x14ac:dyDescent="0.15"/>
    <row r="997" ht="13" x14ac:dyDescent="0.15"/>
    <row r="998" ht="13" x14ac:dyDescent="0.15"/>
    <row r="999" ht="13" x14ac:dyDescent="0.15"/>
    <row r="1000" ht="13"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1DCF4-CC00-4D21-8164-506DA7943F0A}">
  <dimension ref="A1:Z151"/>
  <sheetViews>
    <sheetView topLeftCell="W131" workbookViewId="0">
      <selection sqref="A1:Z151"/>
    </sheetView>
  </sheetViews>
  <sheetFormatPr baseColWidth="10" defaultColWidth="27" defaultRowHeight="16" x14ac:dyDescent="0.2"/>
  <cols>
    <col min="1" max="1" width="27" style="6"/>
    <col min="2" max="4" width="27" style="9"/>
    <col min="5" max="6" width="27" style="6"/>
    <col min="7" max="9" width="27" style="7"/>
    <col min="10" max="10" width="29.5" style="9" bestFit="1" customWidth="1"/>
    <col min="11" max="11" width="29.33203125" style="9" bestFit="1" customWidth="1"/>
    <col min="12" max="16" width="27" style="9"/>
    <col min="17" max="17" width="27" style="11"/>
    <col min="18" max="18" width="27" style="14"/>
    <col min="19" max="19" width="27" style="6"/>
    <col min="20" max="20" width="27" style="9"/>
    <col min="21" max="21" width="27" style="14"/>
    <col min="22" max="23" width="27" style="6"/>
    <col min="24" max="24" width="36.5" style="16" bestFit="1" customWidth="1"/>
    <col min="25" max="16384" width="27" style="6"/>
  </cols>
  <sheetData>
    <row r="1" spans="1:26" x14ac:dyDescent="0.2">
      <c r="A1" s="4" t="s">
        <v>0</v>
      </c>
      <c r="B1" s="8" t="s">
        <v>1</v>
      </c>
      <c r="C1" s="8" t="s">
        <v>2</v>
      </c>
      <c r="D1" s="8" t="s">
        <v>3</v>
      </c>
      <c r="E1" s="4" t="s">
        <v>4</v>
      </c>
      <c r="F1" s="4" t="s">
        <v>5</v>
      </c>
      <c r="G1" s="5" t="s">
        <v>6</v>
      </c>
      <c r="H1" s="5" t="s">
        <v>7</v>
      </c>
      <c r="I1" s="5" t="s">
        <v>8</v>
      </c>
      <c r="J1" s="8" t="s">
        <v>458</v>
      </c>
      <c r="K1" s="8" t="s">
        <v>459</v>
      </c>
      <c r="L1" s="8" t="s">
        <v>9</v>
      </c>
      <c r="M1" s="8" t="s">
        <v>10</v>
      </c>
      <c r="N1" s="8" t="s">
        <v>460</v>
      </c>
      <c r="O1" s="8" t="s">
        <v>11</v>
      </c>
      <c r="P1" s="8" t="s">
        <v>12</v>
      </c>
      <c r="Q1" s="10" t="s">
        <v>13</v>
      </c>
      <c r="R1" s="13" t="s">
        <v>461</v>
      </c>
      <c r="S1" s="4" t="s">
        <v>14</v>
      </c>
      <c r="T1" s="8" t="s">
        <v>462</v>
      </c>
      <c r="U1" s="13" t="s">
        <v>15</v>
      </c>
      <c r="V1" s="4" t="s">
        <v>16</v>
      </c>
      <c r="W1" s="4" t="s">
        <v>17</v>
      </c>
      <c r="X1" s="15" t="s">
        <v>463</v>
      </c>
      <c r="Y1" s="4" t="s">
        <v>18</v>
      </c>
      <c r="Z1" s="4" t="s">
        <v>19</v>
      </c>
    </row>
    <row r="2" spans="1:26" x14ac:dyDescent="0.2">
      <c r="A2" s="4" t="s">
        <v>20</v>
      </c>
      <c r="B2" s="8" t="s">
        <v>21</v>
      </c>
      <c r="C2" s="8" t="s">
        <v>22</v>
      </c>
      <c r="D2" s="8" t="s">
        <v>23</v>
      </c>
      <c r="E2" s="4" t="s">
        <v>464</v>
      </c>
      <c r="F2" s="4" t="s">
        <v>25</v>
      </c>
      <c r="G2" s="5">
        <v>24500</v>
      </c>
      <c r="H2" s="5" t="s">
        <v>26</v>
      </c>
      <c r="I2" s="5" t="s">
        <v>27</v>
      </c>
      <c r="J2" s="8" t="s">
        <v>465</v>
      </c>
      <c r="K2" s="8" t="s">
        <v>466</v>
      </c>
      <c r="L2" s="8" t="s">
        <v>28</v>
      </c>
      <c r="M2" s="8" t="s">
        <v>29</v>
      </c>
      <c r="N2" s="8" t="str">
        <f>IF(ISBLANK(Table1[[#This Row],[Dealer_Name]]), "UNKNOWN", Table1[[#This Row],[Dealer_Name]])</f>
        <v>Toyota Center</v>
      </c>
      <c r="O2" s="8" t="s">
        <v>30</v>
      </c>
      <c r="P2" s="8" t="s">
        <v>31</v>
      </c>
      <c r="Q2" s="10" t="s">
        <v>32</v>
      </c>
      <c r="R2" s="13" t="str">
        <f>IF(ISBLANK(Table1[[#This Row],[Engine_Size]]), "UNKNOWN",Table1[[#This Row],[Engine_Size]])</f>
        <v>1.8L</v>
      </c>
      <c r="S2" s="4" t="s">
        <v>33</v>
      </c>
      <c r="T2" s="8" t="str">
        <f>IF(ISBLANK(Table1[[#This Row],[Color]]), "UNKNOWN", Table1[[#This Row],[Color]])</f>
        <v>White</v>
      </c>
      <c r="U2" s="13">
        <v>8500</v>
      </c>
      <c r="V2" s="4">
        <v>2021</v>
      </c>
      <c r="W2" s="4">
        <v>202401</v>
      </c>
      <c r="X2" s="17">
        <f t="shared" ref="X2:X33" si="0">EOMONTH(DATE(LEFT(W2,4), RIGHT(W2,2), 1), 0)</f>
        <v>45322</v>
      </c>
      <c r="Y2" s="4" t="s">
        <v>34</v>
      </c>
      <c r="Z2" s="4" t="s">
        <v>35</v>
      </c>
    </row>
    <row r="3" spans="1:26" x14ac:dyDescent="0.2">
      <c r="A3" s="4" t="s">
        <v>36</v>
      </c>
      <c r="B3" s="8" t="s">
        <v>21</v>
      </c>
      <c r="C3" s="8" t="s">
        <v>37</v>
      </c>
      <c r="D3" s="8" t="s">
        <v>38</v>
      </c>
      <c r="E3" s="4" t="s">
        <v>39</v>
      </c>
      <c r="F3" s="4" t="s">
        <v>40</v>
      </c>
      <c r="G3" s="5">
        <v>27000</v>
      </c>
      <c r="H3" s="5" t="s">
        <v>41</v>
      </c>
      <c r="I3" s="5" t="s">
        <v>42</v>
      </c>
      <c r="J3" s="8" t="s">
        <v>467</v>
      </c>
      <c r="K3" s="8" t="s">
        <v>468</v>
      </c>
      <c r="L3" s="8" t="s">
        <v>43</v>
      </c>
      <c r="M3" s="8" t="s">
        <v>44</v>
      </c>
      <c r="N3" s="8" t="str">
        <f>IF(ISBLANK(Table1[[#This Row],[Dealer_Name]]), "UNKNOWN", Table1[[#This Row],[Dealer_Name]])</f>
        <v>Hyundai Plus</v>
      </c>
      <c r="O3" s="8" t="s">
        <v>30</v>
      </c>
      <c r="P3" s="8" t="s">
        <v>31</v>
      </c>
      <c r="Q3" s="10" t="s">
        <v>45</v>
      </c>
      <c r="R3" s="13" t="str">
        <f>IF(ISBLANK(Table1[[#This Row],[Engine_Size]]), "UNKNOWN",Table1[[#This Row],[Engine_Size]])</f>
        <v>2.4L</v>
      </c>
      <c r="S3" s="4" t="s">
        <v>46</v>
      </c>
      <c r="T3" s="8" t="str">
        <f>IF(ISBLANK(Table1[[#This Row],[Color]]), "UNKNOWN", Table1[[#This Row],[Color]])</f>
        <v>Black</v>
      </c>
      <c r="U3" s="13">
        <v>28000</v>
      </c>
      <c r="V3" s="4">
        <v>2019</v>
      </c>
      <c r="W3" s="4">
        <v>202402</v>
      </c>
      <c r="X3" s="15">
        <f t="shared" si="0"/>
        <v>45351</v>
      </c>
      <c r="Y3" s="4" t="s">
        <v>47</v>
      </c>
      <c r="Z3" s="4" t="s">
        <v>35</v>
      </c>
    </row>
    <row r="4" spans="1:26" x14ac:dyDescent="0.2">
      <c r="A4" s="4" t="s">
        <v>48</v>
      </c>
      <c r="B4" s="8" t="s">
        <v>21</v>
      </c>
      <c r="C4" s="8" t="s">
        <v>22</v>
      </c>
      <c r="D4" s="8" t="s">
        <v>23</v>
      </c>
      <c r="E4" s="4" t="s">
        <v>464</v>
      </c>
      <c r="F4" s="4" t="s">
        <v>25</v>
      </c>
      <c r="G4" s="5">
        <v>22000</v>
      </c>
      <c r="H4" s="5" t="s">
        <v>26</v>
      </c>
      <c r="I4" s="5" t="s">
        <v>49</v>
      </c>
      <c r="J4" s="8" t="s">
        <v>469</v>
      </c>
      <c r="K4" s="8" t="s">
        <v>470</v>
      </c>
      <c r="L4" s="8" t="s">
        <v>50</v>
      </c>
      <c r="M4" s="8" t="s">
        <v>51</v>
      </c>
      <c r="N4" s="8" t="str">
        <f>IF(ISBLANK(Table1[[#This Row],[Dealer_Name]]), "UNKNOWN", Table1[[#This Row],[Dealer_Name]])</f>
        <v>metro honda</v>
      </c>
      <c r="O4" s="8" t="s">
        <v>52</v>
      </c>
      <c r="P4" s="8" t="s">
        <v>31</v>
      </c>
      <c r="Q4" s="10" t="s">
        <v>53</v>
      </c>
      <c r="R4" s="13" t="str">
        <f>IF(ISBLANK(Table1[[#This Row],[Engine_Size]]), "UNKNOWN",Table1[[#This Row],[Engine_Size]])</f>
        <v>1.5L</v>
      </c>
      <c r="S4" s="4" t="s">
        <v>54</v>
      </c>
      <c r="T4" s="8" t="str">
        <f>IF(ISBLANK(Table1[[#This Row],[Color]]), "UNKNOWN", Table1[[#This Row],[Color]])</f>
        <v>Silver</v>
      </c>
      <c r="U4" s="13">
        <v>19000</v>
      </c>
      <c r="V4" s="4">
        <v>2021</v>
      </c>
      <c r="W4" s="4">
        <v>202403</v>
      </c>
      <c r="X4" s="15">
        <f t="shared" si="0"/>
        <v>45382</v>
      </c>
      <c r="Y4" s="4" t="s">
        <v>55</v>
      </c>
      <c r="Z4" s="4" t="s">
        <v>35</v>
      </c>
    </row>
    <row r="5" spans="1:26" x14ac:dyDescent="0.2">
      <c r="A5" s="4" t="s">
        <v>56</v>
      </c>
      <c r="B5" s="8" t="s">
        <v>21</v>
      </c>
      <c r="C5" s="8" t="s">
        <v>22</v>
      </c>
      <c r="D5" s="8" t="s">
        <v>23</v>
      </c>
      <c r="E5" s="4" t="s">
        <v>464</v>
      </c>
      <c r="F5" s="4" t="s">
        <v>25</v>
      </c>
      <c r="G5" s="5">
        <v>22000</v>
      </c>
      <c r="H5" s="5" t="s">
        <v>26</v>
      </c>
      <c r="I5" s="5" t="s">
        <v>49</v>
      </c>
      <c r="J5" s="8" t="s">
        <v>469</v>
      </c>
      <c r="K5" s="8" t="s">
        <v>470</v>
      </c>
      <c r="L5" s="8" t="s">
        <v>50</v>
      </c>
      <c r="M5" s="8" t="s">
        <v>51</v>
      </c>
      <c r="N5" s="8" t="str">
        <f>IF(ISBLANK(Table1[[#This Row],[Dealer_Name]]), "UNKNOWN", Table1[[#This Row],[Dealer_Name]])</f>
        <v>metro honda</v>
      </c>
      <c r="O5" s="8" t="s">
        <v>52</v>
      </c>
      <c r="P5" s="8" t="s">
        <v>31</v>
      </c>
      <c r="Q5" s="10" t="s">
        <v>53</v>
      </c>
      <c r="R5" s="13" t="str">
        <f>IF(ISBLANK(Table1[[#This Row],[Engine_Size]]), "UNKNOWN",Table1[[#This Row],[Engine_Size]])</f>
        <v>1.5L</v>
      </c>
      <c r="S5" s="4" t="s">
        <v>54</v>
      </c>
      <c r="T5" s="8" t="str">
        <f>IF(ISBLANK(Table1[[#This Row],[Color]]), "UNKNOWN", Table1[[#This Row],[Color]])</f>
        <v>Silver</v>
      </c>
      <c r="U5" s="13">
        <v>19000</v>
      </c>
      <c r="V5" s="4">
        <v>2021</v>
      </c>
      <c r="W5" s="4">
        <v>202403</v>
      </c>
      <c r="X5" s="15">
        <f t="shared" si="0"/>
        <v>45382</v>
      </c>
      <c r="Y5" s="4" t="s">
        <v>55</v>
      </c>
      <c r="Z5" s="4" t="s">
        <v>35</v>
      </c>
    </row>
    <row r="6" spans="1:26" x14ac:dyDescent="0.2">
      <c r="A6" s="4" t="s">
        <v>57</v>
      </c>
      <c r="B6" s="8" t="s">
        <v>21</v>
      </c>
      <c r="C6" s="8" t="s">
        <v>22</v>
      </c>
      <c r="D6" s="8" t="s">
        <v>23</v>
      </c>
      <c r="E6" s="4" t="s">
        <v>464</v>
      </c>
      <c r="F6" s="4" t="s">
        <v>25</v>
      </c>
      <c r="G6" s="5">
        <v>22000</v>
      </c>
      <c r="H6" s="5" t="s">
        <v>26</v>
      </c>
      <c r="I6" s="5" t="s">
        <v>58</v>
      </c>
      <c r="J6" s="8" t="s">
        <v>471</v>
      </c>
      <c r="K6" s="8" t="s">
        <v>472</v>
      </c>
      <c r="L6" s="8" t="s">
        <v>59</v>
      </c>
      <c r="M6" s="8" t="s">
        <v>29</v>
      </c>
      <c r="N6" s="8" t="str">
        <f>IF(ISBLANK(Table1[[#This Row],[Dealer_Name]]), "UNKNOWN", Table1[[#This Row],[Dealer_Name]])</f>
        <v>Toyota Center</v>
      </c>
      <c r="O6" s="8" t="s">
        <v>30</v>
      </c>
      <c r="P6" s="8" t="s">
        <v>39</v>
      </c>
      <c r="Q6" s="10" t="s">
        <v>60</v>
      </c>
      <c r="R6" s="13" t="str">
        <f>IF(ISBLANK(Table1[[#This Row],[Engine_Size]]), "UNKNOWN",Table1[[#This Row],[Engine_Size]])</f>
        <v>2.5L</v>
      </c>
      <c r="S6" s="4" t="s">
        <v>61</v>
      </c>
      <c r="T6" s="8" t="str">
        <f>IF(ISBLANK(Table1[[#This Row],[Color]]), "UNKNOWN", Table1[[#This Row],[Color]])</f>
        <v>Blue</v>
      </c>
      <c r="U6" s="13">
        <v>14000</v>
      </c>
      <c r="V6" s="4">
        <v>2022</v>
      </c>
      <c r="W6" s="4">
        <v>202403</v>
      </c>
      <c r="X6" s="15">
        <f t="shared" si="0"/>
        <v>45382</v>
      </c>
      <c r="Y6" s="4" t="s">
        <v>55</v>
      </c>
      <c r="Z6" s="4" t="s">
        <v>35</v>
      </c>
    </row>
    <row r="7" spans="1:26" x14ac:dyDescent="0.2">
      <c r="A7" s="4" t="s">
        <v>62</v>
      </c>
      <c r="B7" s="8" t="s">
        <v>21</v>
      </c>
      <c r="C7" s="8" t="s">
        <v>63</v>
      </c>
      <c r="D7" s="8" t="s">
        <v>23</v>
      </c>
      <c r="E7" s="4" t="s">
        <v>473</v>
      </c>
      <c r="F7" s="4" t="s">
        <v>25</v>
      </c>
      <c r="G7" s="5">
        <v>28000</v>
      </c>
      <c r="H7" s="5" t="s">
        <v>41</v>
      </c>
      <c r="I7" s="5" t="s">
        <v>65</v>
      </c>
      <c r="J7" s="8" t="s">
        <v>474</v>
      </c>
      <c r="K7" s="8" t="s">
        <v>475</v>
      </c>
      <c r="L7" s="8" t="s">
        <v>66</v>
      </c>
      <c r="M7" s="8" t="s">
        <v>67</v>
      </c>
      <c r="N7" s="8" t="str">
        <f>IF(ISBLANK(Table1[[#This Row],[Dealer_Name]]), "UNKNOWN", Table1[[#This Row],[Dealer_Name]])</f>
        <v>Ford Country</v>
      </c>
      <c r="O7" s="8" t="s">
        <v>68</v>
      </c>
      <c r="P7" s="8" t="s">
        <v>31</v>
      </c>
      <c r="Q7" s="10" t="s">
        <v>69</v>
      </c>
      <c r="R7" s="13" t="str">
        <f>IF(ISBLANK(Table1[[#This Row],[Engine_Size]]), "UNKNOWN",Table1[[#This Row],[Engine_Size]])</f>
        <v>5.0L</v>
      </c>
      <c r="S7" s="4" t="s">
        <v>70</v>
      </c>
      <c r="T7" s="8" t="str">
        <f>IF(ISBLANK(Table1[[#This Row],[Color]]), "UNKNOWN", Table1[[#This Row],[Color]])</f>
        <v>Red</v>
      </c>
      <c r="U7" s="13">
        <v>21000</v>
      </c>
      <c r="V7" s="4">
        <v>2021</v>
      </c>
      <c r="W7" s="4">
        <v>202403</v>
      </c>
      <c r="X7" s="15">
        <f t="shared" si="0"/>
        <v>45382</v>
      </c>
      <c r="Y7" s="4" t="s">
        <v>55</v>
      </c>
      <c r="Z7" s="4" t="s">
        <v>35</v>
      </c>
    </row>
    <row r="8" spans="1:26" x14ac:dyDescent="0.2">
      <c r="A8" s="4" t="s">
        <v>71</v>
      </c>
      <c r="B8" s="8" t="s">
        <v>21</v>
      </c>
      <c r="C8" s="8" t="s">
        <v>72</v>
      </c>
      <c r="D8" s="8" t="s">
        <v>23</v>
      </c>
      <c r="E8" s="4" t="s">
        <v>73</v>
      </c>
      <c r="F8" s="4" t="s">
        <v>25</v>
      </c>
      <c r="G8" s="5">
        <v>39500</v>
      </c>
      <c r="H8" s="5" t="s">
        <v>41</v>
      </c>
      <c r="I8" s="5" t="s">
        <v>74</v>
      </c>
      <c r="J8" s="8" t="s">
        <v>476</v>
      </c>
      <c r="K8" s="8" t="s">
        <v>477</v>
      </c>
      <c r="L8" s="8" t="s">
        <v>75</v>
      </c>
      <c r="M8" s="8" t="s">
        <v>76</v>
      </c>
      <c r="N8" s="8" t="str">
        <f>IF(ISBLANK(Table1[[#This Row],[Dealer_Name]]), "UNKNOWN", Table1[[#This Row],[Dealer_Name]])</f>
        <v>toyota center</v>
      </c>
      <c r="O8" s="8" t="s">
        <v>30</v>
      </c>
      <c r="P8" s="8" t="s">
        <v>31</v>
      </c>
      <c r="Q8" s="10" t="s">
        <v>77</v>
      </c>
      <c r="R8" s="13" t="str">
        <f>IF(ISBLANK(Table1[[#This Row],[Engine_Size]]), "UNKNOWN",Table1[[#This Row],[Engine_Size]])</f>
        <v>3.5L</v>
      </c>
      <c r="S8" s="4" t="s">
        <v>46</v>
      </c>
      <c r="T8" s="8" t="str">
        <f>IF(ISBLANK(Table1[[#This Row],[Color]]), "UNKNOWN", Table1[[#This Row],[Color]])</f>
        <v>Black</v>
      </c>
      <c r="U8" s="13">
        <v>17000</v>
      </c>
      <c r="V8" s="4">
        <v>2021</v>
      </c>
      <c r="W8" s="4">
        <v>202407</v>
      </c>
      <c r="X8" s="15">
        <f t="shared" si="0"/>
        <v>45504</v>
      </c>
      <c r="Y8" s="4" t="s">
        <v>78</v>
      </c>
      <c r="Z8" s="4" t="s">
        <v>79</v>
      </c>
    </row>
    <row r="9" spans="1:26" x14ac:dyDescent="0.2">
      <c r="A9" s="4" t="s">
        <v>80</v>
      </c>
      <c r="B9" s="8" t="s">
        <v>21</v>
      </c>
      <c r="C9" s="8" t="s">
        <v>37</v>
      </c>
      <c r="D9" s="8" t="s">
        <v>38</v>
      </c>
      <c r="E9" s="4" t="s">
        <v>39</v>
      </c>
      <c r="F9" s="4" t="s">
        <v>40</v>
      </c>
      <c r="G9" s="5">
        <v>27000</v>
      </c>
      <c r="H9" s="5" t="s">
        <v>41</v>
      </c>
      <c r="I9" s="5" t="s">
        <v>82</v>
      </c>
      <c r="J9" s="8" t="s">
        <v>478</v>
      </c>
      <c r="K9" s="8" t="s">
        <v>479</v>
      </c>
      <c r="L9" s="8" t="s">
        <v>83</v>
      </c>
      <c r="M9" s="8" t="s">
        <v>84</v>
      </c>
      <c r="N9" s="8" t="str">
        <f>IF(ISBLANK(Table1[[#This Row],[Dealer_Name]]), "UNKNOWN", Table1[[#This Row],[Dealer_Name]])</f>
        <v>jeep nation</v>
      </c>
      <c r="O9" s="8" t="s">
        <v>85</v>
      </c>
      <c r="P9" s="8" t="s">
        <v>31</v>
      </c>
      <c r="Q9" s="10" t="s">
        <v>86</v>
      </c>
      <c r="R9" s="13" t="str">
        <f>IF(ISBLANK(Table1[[#This Row],[Engine_Size]]), "UNKNOWN",Table1[[#This Row],[Engine_Size]])</f>
        <v>3.6L</v>
      </c>
      <c r="S9" s="4" t="s">
        <v>87</v>
      </c>
      <c r="T9" s="8" t="str">
        <f>IF(ISBLANK(Table1[[#This Row],[Color]]), "UNKNOWN", Table1[[#This Row],[Color]])</f>
        <v>Orange</v>
      </c>
      <c r="U9" s="13">
        <v>11000</v>
      </c>
      <c r="V9" s="4">
        <v>2023</v>
      </c>
      <c r="W9" s="4">
        <v>202407</v>
      </c>
      <c r="X9" s="15">
        <f t="shared" si="0"/>
        <v>45504</v>
      </c>
      <c r="Y9" s="4" t="s">
        <v>78</v>
      </c>
      <c r="Z9" s="4" t="s">
        <v>79</v>
      </c>
    </row>
    <row r="10" spans="1:26" x14ac:dyDescent="0.2">
      <c r="A10" s="4" t="s">
        <v>88</v>
      </c>
      <c r="B10" s="8" t="s">
        <v>21</v>
      </c>
      <c r="C10" s="8" t="s">
        <v>89</v>
      </c>
      <c r="D10" s="8" t="s">
        <v>90</v>
      </c>
      <c r="E10" s="4" t="s">
        <v>91</v>
      </c>
      <c r="F10" s="4" t="s">
        <v>25</v>
      </c>
      <c r="G10" s="5">
        <v>56900</v>
      </c>
      <c r="H10" s="5" t="s">
        <v>92</v>
      </c>
      <c r="I10" s="5" t="s">
        <v>93</v>
      </c>
      <c r="J10" s="8" t="s">
        <v>480</v>
      </c>
      <c r="K10" s="8" t="s">
        <v>472</v>
      </c>
      <c r="L10" s="8" t="s">
        <v>94</v>
      </c>
      <c r="M10" s="8" t="s">
        <v>29</v>
      </c>
      <c r="N10" s="8" t="str">
        <f>IF(ISBLANK(Table1[[#This Row],[Dealer_Name]]), "UNKNOWN", Table1[[#This Row],[Dealer_Name]])</f>
        <v>Toyota Center</v>
      </c>
      <c r="O10" s="8" t="s">
        <v>30</v>
      </c>
      <c r="P10" s="8" t="s">
        <v>31</v>
      </c>
      <c r="Q10" s="10" t="s">
        <v>95</v>
      </c>
      <c r="R10" s="13" t="str">
        <f>IF(ISBLANK(Table1[[#This Row],[Engine_Size]]), "UNKNOWN",Table1[[#This Row],[Engine_Size]])</f>
        <v>5.7L</v>
      </c>
      <c r="S10" s="4" t="s">
        <v>46</v>
      </c>
      <c r="T10" s="8" t="str">
        <f>IF(ISBLANK(Table1[[#This Row],[Color]]), "UNKNOWN", Table1[[#This Row],[Color]])</f>
        <v>Black</v>
      </c>
      <c r="U10" s="13">
        <v>28000</v>
      </c>
      <c r="V10" s="4">
        <v>2019</v>
      </c>
      <c r="W10" s="4">
        <v>202407</v>
      </c>
      <c r="X10" s="15">
        <f t="shared" si="0"/>
        <v>45504</v>
      </c>
      <c r="Y10" s="4" t="s">
        <v>78</v>
      </c>
      <c r="Z10" s="4" t="s">
        <v>79</v>
      </c>
    </row>
    <row r="11" spans="1:26" x14ac:dyDescent="0.2">
      <c r="A11" s="4" t="s">
        <v>96</v>
      </c>
      <c r="B11" s="8" t="s">
        <v>21</v>
      </c>
      <c r="C11" s="8" t="s">
        <v>22</v>
      </c>
      <c r="D11" s="8" t="s">
        <v>23</v>
      </c>
      <c r="E11" s="4" t="s">
        <v>464</v>
      </c>
      <c r="F11" s="4" t="s">
        <v>25</v>
      </c>
      <c r="G11" s="5">
        <v>22000</v>
      </c>
      <c r="H11" s="5" t="s">
        <v>26</v>
      </c>
      <c r="I11" s="5" t="s">
        <v>97</v>
      </c>
      <c r="J11" s="8" t="s">
        <v>481</v>
      </c>
      <c r="K11" s="8" t="s">
        <v>475</v>
      </c>
      <c r="L11" s="8" t="s">
        <v>98</v>
      </c>
      <c r="M11" s="8" t="s">
        <v>99</v>
      </c>
      <c r="N11" s="8" t="str">
        <f>IF(ISBLANK(Table1[[#This Row],[Dealer_Name]]), "UNKNOWN", Table1[[#This Row],[Dealer_Name]])</f>
        <v>Chevy World</v>
      </c>
      <c r="O11" s="8" t="s">
        <v>68</v>
      </c>
      <c r="P11" s="8" t="s">
        <v>31</v>
      </c>
      <c r="Q11" s="10" t="s">
        <v>100</v>
      </c>
      <c r="R11" s="13" t="str">
        <f>IF(ISBLANK(Table1[[#This Row],[Engine_Size]]), "UNKNOWN",Table1[[#This Row],[Engine_Size]])</f>
        <v>5.3L</v>
      </c>
      <c r="S11" s="4" t="s">
        <v>101</v>
      </c>
      <c r="T11" s="8" t="str">
        <f>IF(ISBLANK(Table1[[#This Row],[Color]]), "UNKNOWN", Table1[[#This Row],[Color]])</f>
        <v>Gray</v>
      </c>
      <c r="U11" s="13">
        <v>25000</v>
      </c>
      <c r="V11" s="4">
        <v>2020</v>
      </c>
      <c r="W11" s="4">
        <v>202407</v>
      </c>
      <c r="X11" s="15">
        <f t="shared" si="0"/>
        <v>45504</v>
      </c>
      <c r="Y11" s="4" t="s">
        <v>78</v>
      </c>
      <c r="Z11" s="4" t="s">
        <v>79</v>
      </c>
    </row>
    <row r="12" spans="1:26" x14ac:dyDescent="0.2">
      <c r="A12" s="4" t="s">
        <v>102</v>
      </c>
      <c r="B12" s="8" t="s">
        <v>21</v>
      </c>
      <c r="C12" s="8" t="s">
        <v>103</v>
      </c>
      <c r="D12" s="8" t="s">
        <v>90</v>
      </c>
      <c r="E12" s="4" t="s">
        <v>482</v>
      </c>
      <c r="F12" s="4" t="s">
        <v>25</v>
      </c>
      <c r="G12" s="5">
        <v>32000</v>
      </c>
      <c r="H12" s="5" t="s">
        <v>41</v>
      </c>
      <c r="I12" s="5" t="s">
        <v>106</v>
      </c>
      <c r="J12" s="8" t="s">
        <v>483</v>
      </c>
      <c r="K12" s="8" t="s">
        <v>484</v>
      </c>
      <c r="L12" s="8" t="s">
        <v>107</v>
      </c>
      <c r="M12" s="8" t="s">
        <v>51</v>
      </c>
      <c r="N12" s="8" t="str">
        <f>IF(ISBLANK(Table1[[#This Row],[Dealer_Name]]), "UNKNOWN", Table1[[#This Row],[Dealer_Name]])</f>
        <v>metro honda</v>
      </c>
      <c r="O12" s="8" t="s">
        <v>52</v>
      </c>
      <c r="P12" s="8" t="s">
        <v>31</v>
      </c>
      <c r="Q12" s="10" t="s">
        <v>77</v>
      </c>
      <c r="R12" s="13" t="str">
        <f>IF(ISBLANK(Table1[[#This Row],[Engine_Size]]), "UNKNOWN",Table1[[#This Row],[Engine_Size]])</f>
        <v>3.5L</v>
      </c>
      <c r="S12" s="4" t="s">
        <v>54</v>
      </c>
      <c r="T12" s="8" t="str">
        <f>IF(ISBLANK(Table1[[#This Row],[Color]]), "UNKNOWN", Table1[[#This Row],[Color]])</f>
        <v>Silver</v>
      </c>
      <c r="U12" s="13">
        <v>22000</v>
      </c>
      <c r="V12" s="4">
        <v>2021</v>
      </c>
      <c r="W12" s="4">
        <v>202408</v>
      </c>
      <c r="X12" s="15">
        <f t="shared" si="0"/>
        <v>45535</v>
      </c>
      <c r="Y12" s="4" t="s">
        <v>108</v>
      </c>
      <c r="Z12" s="4" t="s">
        <v>79</v>
      </c>
    </row>
    <row r="13" spans="1:26" x14ac:dyDescent="0.2">
      <c r="A13" s="4" t="s">
        <v>109</v>
      </c>
      <c r="B13" s="8" t="s">
        <v>21</v>
      </c>
      <c r="C13" s="8" t="s">
        <v>110</v>
      </c>
      <c r="D13" s="8" t="s">
        <v>90</v>
      </c>
      <c r="E13" s="4" t="s">
        <v>482</v>
      </c>
      <c r="F13" s="4" t="s">
        <v>485</v>
      </c>
      <c r="G13" s="5">
        <v>43000</v>
      </c>
      <c r="H13" s="5" t="s">
        <v>92</v>
      </c>
      <c r="I13" s="5" t="s">
        <v>112</v>
      </c>
      <c r="J13" s="8" t="s">
        <v>486</v>
      </c>
      <c r="K13" s="8" t="s">
        <v>487</v>
      </c>
      <c r="L13" s="8" t="s">
        <v>113</v>
      </c>
      <c r="M13" s="8" t="s">
        <v>29</v>
      </c>
      <c r="N13" s="8" t="str">
        <f>IF(ISBLANK(Table1[[#This Row],[Dealer_Name]]), "UNKNOWN", Table1[[#This Row],[Dealer_Name]])</f>
        <v>Toyota Center</v>
      </c>
      <c r="O13" s="8" t="s">
        <v>30</v>
      </c>
      <c r="P13" s="8" t="s">
        <v>39</v>
      </c>
      <c r="Q13" s="10" t="s">
        <v>60</v>
      </c>
      <c r="R13" s="13" t="str">
        <f>IF(ISBLANK(Table1[[#This Row],[Engine_Size]]), "UNKNOWN",Table1[[#This Row],[Engine_Size]])</f>
        <v>2.5L</v>
      </c>
      <c r="S13" s="4" t="s">
        <v>33</v>
      </c>
      <c r="T13" s="8" t="str">
        <f>IF(ISBLANK(Table1[[#This Row],[Color]]), "UNKNOWN", Table1[[#This Row],[Color]])</f>
        <v>White</v>
      </c>
      <c r="U13" s="13">
        <v>15000</v>
      </c>
      <c r="V13" s="4">
        <v>2022</v>
      </c>
      <c r="W13" s="4">
        <v>202408</v>
      </c>
      <c r="X13" s="15">
        <f t="shared" si="0"/>
        <v>45535</v>
      </c>
      <c r="Y13" s="4" t="s">
        <v>108</v>
      </c>
      <c r="Z13" s="4" t="s">
        <v>79</v>
      </c>
    </row>
    <row r="14" spans="1:26" x14ac:dyDescent="0.2">
      <c r="A14" s="4" t="s">
        <v>114</v>
      </c>
      <c r="B14" s="8" t="s">
        <v>21</v>
      </c>
      <c r="C14" s="8" t="s">
        <v>115</v>
      </c>
      <c r="D14" s="8" t="s">
        <v>23</v>
      </c>
      <c r="E14" s="4" t="s">
        <v>73</v>
      </c>
      <c r="F14" s="4" t="s">
        <v>25</v>
      </c>
      <c r="G14" s="5">
        <v>58500</v>
      </c>
      <c r="H14" s="5" t="s">
        <v>92</v>
      </c>
      <c r="I14" s="5" t="s">
        <v>116</v>
      </c>
      <c r="J14" s="8" t="s">
        <v>488</v>
      </c>
      <c r="K14" s="8" t="s">
        <v>468</v>
      </c>
      <c r="L14" s="8" t="s">
        <v>117</v>
      </c>
      <c r="M14" s="8" t="s">
        <v>44</v>
      </c>
      <c r="N14" s="8" t="str">
        <f>IF(ISBLANK(Table1[[#This Row],[Dealer_Name]]), "UNKNOWN", Table1[[#This Row],[Dealer_Name]])</f>
        <v>Hyundai Plus</v>
      </c>
      <c r="O14" s="8" t="s">
        <v>30</v>
      </c>
      <c r="P14" s="8" t="s">
        <v>118</v>
      </c>
      <c r="R14" s="14" t="str">
        <f>IF(ISBLANK(Table1[[#This Row],[Engine_Size]]), "UNKNOWN",Table1[[#This Row],[Engine_Size]])</f>
        <v>UNKNOWN</v>
      </c>
      <c r="S14" s="4" t="s">
        <v>61</v>
      </c>
      <c r="T14" s="8" t="str">
        <f>IF(ISBLANK(Table1[[#This Row],[Color]]), "UNKNOWN", Table1[[#This Row],[Color]])</f>
        <v>Blue</v>
      </c>
      <c r="U14" s="13">
        <v>27000</v>
      </c>
      <c r="V14" s="4">
        <v>2019</v>
      </c>
      <c r="W14" s="4">
        <v>202408</v>
      </c>
      <c r="X14" s="15">
        <f t="shared" si="0"/>
        <v>45535</v>
      </c>
      <c r="Y14" s="4" t="s">
        <v>108</v>
      </c>
      <c r="Z14" s="4" t="s">
        <v>79</v>
      </c>
    </row>
    <row r="15" spans="1:26" x14ac:dyDescent="0.2">
      <c r="A15" s="4" t="s">
        <v>119</v>
      </c>
      <c r="B15" s="8" t="s">
        <v>21</v>
      </c>
      <c r="C15" s="8" t="s">
        <v>120</v>
      </c>
      <c r="D15" s="8" t="s">
        <v>90</v>
      </c>
      <c r="E15" s="4" t="s">
        <v>91</v>
      </c>
      <c r="F15" s="4" t="s">
        <v>25</v>
      </c>
      <c r="G15" s="5">
        <v>31500</v>
      </c>
      <c r="H15" s="5" t="s">
        <v>41</v>
      </c>
      <c r="I15" s="5" t="s">
        <v>121</v>
      </c>
      <c r="J15" s="8" t="s">
        <v>489</v>
      </c>
      <c r="K15" s="8" t="s">
        <v>490</v>
      </c>
      <c r="L15" s="8" t="s">
        <v>122</v>
      </c>
      <c r="M15" s="8" t="s">
        <v>29</v>
      </c>
      <c r="N15" s="8" t="str">
        <f>IF(ISBLANK(Table1[[#This Row],[Dealer_Name]]), "UNKNOWN", Table1[[#This Row],[Dealer_Name]])</f>
        <v>Toyota Center</v>
      </c>
      <c r="O15" s="8" t="s">
        <v>30</v>
      </c>
      <c r="P15" s="8" t="s">
        <v>31</v>
      </c>
      <c r="Q15" s="10" t="s">
        <v>123</v>
      </c>
      <c r="R15" s="13" t="str">
        <f>IF(ISBLANK(Table1[[#This Row],[Engine_Size]]), "UNKNOWN",Table1[[#This Row],[Engine_Size]])</f>
        <v>4.0L</v>
      </c>
      <c r="S15" s="4" t="s">
        <v>124</v>
      </c>
      <c r="T15" s="8" t="str">
        <f>IF(ISBLANK(Table1[[#This Row],[Color]]), "UNKNOWN", Table1[[#This Row],[Color]])</f>
        <v>Yellow</v>
      </c>
      <c r="U15" s="13">
        <v>40000</v>
      </c>
      <c r="V15" s="4">
        <v>2017</v>
      </c>
      <c r="W15" s="4">
        <v>202408</v>
      </c>
      <c r="X15" s="15">
        <f t="shared" si="0"/>
        <v>45535</v>
      </c>
      <c r="Y15" s="4" t="s">
        <v>108</v>
      </c>
      <c r="Z15" s="4" t="s">
        <v>79</v>
      </c>
    </row>
    <row r="16" spans="1:26" x14ac:dyDescent="0.2">
      <c r="A16" s="4" t="s">
        <v>125</v>
      </c>
      <c r="B16" s="8" t="s">
        <v>21</v>
      </c>
      <c r="C16" s="8" t="s">
        <v>110</v>
      </c>
      <c r="D16" s="8" t="s">
        <v>90</v>
      </c>
      <c r="E16" s="4" t="s">
        <v>482</v>
      </c>
      <c r="F16" s="4" t="s">
        <v>485</v>
      </c>
      <c r="G16" s="5">
        <v>43000</v>
      </c>
      <c r="H16" s="5" t="s">
        <v>92</v>
      </c>
      <c r="I16" s="5" t="s">
        <v>126</v>
      </c>
      <c r="J16" s="8" t="s">
        <v>491</v>
      </c>
      <c r="K16" s="8" t="s">
        <v>475</v>
      </c>
      <c r="L16" s="8" t="s">
        <v>127</v>
      </c>
      <c r="M16" s="8" t="s">
        <v>44</v>
      </c>
      <c r="N16" s="8" t="str">
        <f>IF(ISBLANK(Table1[[#This Row],[Dealer_Name]]), "UNKNOWN", Table1[[#This Row],[Dealer_Name]])</f>
        <v>Hyundai Plus</v>
      </c>
      <c r="O16" s="8" t="s">
        <v>30</v>
      </c>
      <c r="P16" s="8" t="s">
        <v>31</v>
      </c>
      <c r="Q16" s="10" t="s">
        <v>128</v>
      </c>
      <c r="R16" s="13" t="str">
        <f>IF(ISBLANK(Table1[[#This Row],[Engine_Size]]), "UNKNOWN",Table1[[#This Row],[Engine_Size]])</f>
        <v>3.8L</v>
      </c>
      <c r="S16" s="4" t="s">
        <v>46</v>
      </c>
      <c r="T16" s="8" t="str">
        <f>IF(ISBLANK(Table1[[#This Row],[Color]]), "UNKNOWN", Table1[[#This Row],[Color]])</f>
        <v>Black</v>
      </c>
      <c r="U16" s="13">
        <v>42000</v>
      </c>
      <c r="V16" s="4">
        <v>2017</v>
      </c>
      <c r="W16" s="4">
        <v>202408</v>
      </c>
      <c r="X16" s="15">
        <f t="shared" si="0"/>
        <v>45535</v>
      </c>
      <c r="Y16" s="4" t="s">
        <v>108</v>
      </c>
      <c r="Z16" s="4" t="s">
        <v>79</v>
      </c>
    </row>
    <row r="17" spans="1:26" x14ac:dyDescent="0.2">
      <c r="A17" s="4" t="s">
        <v>129</v>
      </c>
      <c r="B17" s="8" t="s">
        <v>21</v>
      </c>
      <c r="C17" s="8" t="s">
        <v>130</v>
      </c>
      <c r="D17" s="8" t="s">
        <v>90</v>
      </c>
      <c r="E17" s="4" t="s">
        <v>91</v>
      </c>
      <c r="F17" s="4" t="s">
        <v>25</v>
      </c>
      <c r="G17" s="5">
        <v>35800</v>
      </c>
      <c r="H17" s="5" t="s">
        <v>41</v>
      </c>
      <c r="I17" s="5" t="s">
        <v>131</v>
      </c>
      <c r="J17" s="8" t="s">
        <v>492</v>
      </c>
      <c r="K17" s="8" t="s">
        <v>493</v>
      </c>
      <c r="L17" s="8" t="s">
        <v>132</v>
      </c>
      <c r="M17" s="8" t="s">
        <v>29</v>
      </c>
      <c r="N17" s="8" t="str">
        <f>IF(ISBLANK(Table1[[#This Row],[Dealer_Name]]), "UNKNOWN", Table1[[#This Row],[Dealer_Name]])</f>
        <v>Toyota Center</v>
      </c>
      <c r="O17" s="8" t="s">
        <v>30</v>
      </c>
      <c r="P17" s="8" t="s">
        <v>31</v>
      </c>
      <c r="Q17" s="10" t="s">
        <v>133</v>
      </c>
      <c r="R17" s="13" t="str">
        <f>IF(ISBLANK(Table1[[#This Row],[Engine_Size]]), "UNKNOWN",Table1[[#This Row],[Engine_Size]])</f>
        <v>2.7L</v>
      </c>
      <c r="S17" s="4" t="s">
        <v>54</v>
      </c>
      <c r="T17" s="8" t="str">
        <f>IF(ISBLANK(Table1[[#This Row],[Color]]), "UNKNOWN", Table1[[#This Row],[Color]])</f>
        <v>Silver</v>
      </c>
      <c r="U17" s="13">
        <v>24000</v>
      </c>
      <c r="V17" s="4">
        <v>2020</v>
      </c>
      <c r="W17" s="4">
        <v>202409</v>
      </c>
      <c r="X17" s="15">
        <f t="shared" si="0"/>
        <v>45565</v>
      </c>
      <c r="Y17" s="4" t="s">
        <v>134</v>
      </c>
      <c r="Z17" s="4" t="s">
        <v>79</v>
      </c>
    </row>
    <row r="18" spans="1:26" x14ac:dyDescent="0.2">
      <c r="A18" s="4" t="s">
        <v>135</v>
      </c>
      <c r="B18" s="8" t="s">
        <v>21</v>
      </c>
      <c r="C18" s="8" t="s">
        <v>37</v>
      </c>
      <c r="D18" s="8" t="s">
        <v>38</v>
      </c>
      <c r="E18" s="4" t="s">
        <v>39</v>
      </c>
      <c r="F18" s="4" t="s">
        <v>40</v>
      </c>
      <c r="G18" s="5">
        <v>27000</v>
      </c>
      <c r="H18" s="5" t="s">
        <v>41</v>
      </c>
      <c r="I18" s="5" t="s">
        <v>136</v>
      </c>
      <c r="J18" s="8" t="s">
        <v>494</v>
      </c>
      <c r="K18" s="8" t="s">
        <v>472</v>
      </c>
      <c r="L18" s="8" t="s">
        <v>137</v>
      </c>
      <c r="M18" s="8" t="s">
        <v>138</v>
      </c>
      <c r="N18" s="8" t="str">
        <f>IF(ISBLANK(Table1[[#This Row],[Dealer_Name]]), "UNKNOWN", Table1[[#This Row],[Dealer_Name]])</f>
        <v>hyundai plus</v>
      </c>
      <c r="O18" s="8" t="s">
        <v>30</v>
      </c>
      <c r="P18" s="8" t="s">
        <v>31</v>
      </c>
      <c r="Q18" s="10" t="s">
        <v>45</v>
      </c>
      <c r="R18" s="13" t="str">
        <f>IF(ISBLANK(Table1[[#This Row],[Engine_Size]]), "UNKNOWN",Table1[[#This Row],[Engine_Size]])</f>
        <v>2.4L</v>
      </c>
      <c r="S18" s="4" t="s">
        <v>61</v>
      </c>
      <c r="T18" s="8" t="str">
        <f>IF(ISBLANK(Table1[[#This Row],[Color]]), "UNKNOWN", Table1[[#This Row],[Color]])</f>
        <v>Blue</v>
      </c>
      <c r="U18" s="13">
        <v>31000</v>
      </c>
      <c r="V18" s="4">
        <v>2019</v>
      </c>
      <c r="W18" s="4">
        <v>202409</v>
      </c>
      <c r="X18" s="15">
        <f t="shared" si="0"/>
        <v>45565</v>
      </c>
      <c r="Y18" s="4" t="s">
        <v>134</v>
      </c>
      <c r="Z18" s="4" t="s">
        <v>79</v>
      </c>
    </row>
    <row r="19" spans="1:26" x14ac:dyDescent="0.2">
      <c r="A19" s="4" t="s">
        <v>139</v>
      </c>
      <c r="B19" s="8" t="s">
        <v>21</v>
      </c>
      <c r="C19" s="8" t="s">
        <v>110</v>
      </c>
      <c r="D19" s="8" t="s">
        <v>90</v>
      </c>
      <c r="E19" s="4" t="s">
        <v>482</v>
      </c>
      <c r="F19" s="4" t="s">
        <v>485</v>
      </c>
      <c r="G19" s="5">
        <v>43000</v>
      </c>
      <c r="H19" s="5" t="s">
        <v>92</v>
      </c>
      <c r="I19" s="5" t="s">
        <v>140</v>
      </c>
      <c r="J19" s="8" t="s">
        <v>495</v>
      </c>
      <c r="K19" s="8" t="s">
        <v>496</v>
      </c>
      <c r="L19" s="8" t="s">
        <v>141</v>
      </c>
      <c r="M19" s="8" t="s">
        <v>142</v>
      </c>
      <c r="N19" s="8" t="str">
        <f>IF(ISBLANK(Table1[[#This Row],[Dealer_Name]]), "UNKNOWN", Table1[[#This Row],[Dealer_Name]])</f>
        <v>Jeep Nation</v>
      </c>
      <c r="O19" s="8" t="s">
        <v>85</v>
      </c>
      <c r="P19" s="8" t="s">
        <v>31</v>
      </c>
      <c r="Q19" s="10" t="s">
        <v>45</v>
      </c>
      <c r="R19" s="13" t="str">
        <f>IF(ISBLANK(Table1[[#This Row],[Engine_Size]]), "UNKNOWN",Table1[[#This Row],[Engine_Size]])</f>
        <v>2.4L</v>
      </c>
      <c r="S19" s="4" t="s">
        <v>143</v>
      </c>
      <c r="T19" s="8" t="str">
        <f>IF(ISBLANK(Table1[[#This Row],[Color]]), "UNKNOWN", Table1[[#This Row],[Color]])</f>
        <v>Green</v>
      </c>
      <c r="U19" s="13">
        <v>34000</v>
      </c>
      <c r="V19" s="4">
        <v>2018</v>
      </c>
      <c r="W19" s="4">
        <v>202409</v>
      </c>
      <c r="X19" s="15">
        <f t="shared" si="0"/>
        <v>45565</v>
      </c>
      <c r="Y19" s="4" t="s">
        <v>134</v>
      </c>
      <c r="Z19" s="4" t="s">
        <v>79</v>
      </c>
    </row>
    <row r="20" spans="1:26" x14ac:dyDescent="0.2">
      <c r="A20" s="4" t="s">
        <v>144</v>
      </c>
      <c r="B20" s="8" t="s">
        <v>21</v>
      </c>
      <c r="C20" s="8" t="s">
        <v>110</v>
      </c>
      <c r="D20" s="8" t="s">
        <v>90</v>
      </c>
      <c r="E20" s="4" t="s">
        <v>482</v>
      </c>
      <c r="F20" s="4" t="s">
        <v>485</v>
      </c>
      <c r="G20" s="5">
        <v>43000</v>
      </c>
      <c r="H20" s="5" t="s">
        <v>92</v>
      </c>
      <c r="I20" s="5" t="s">
        <v>145</v>
      </c>
      <c r="J20" s="8" t="s">
        <v>497</v>
      </c>
      <c r="K20" s="8" t="s">
        <v>477</v>
      </c>
      <c r="L20" s="8" t="s">
        <v>146</v>
      </c>
      <c r="M20" s="8" t="s">
        <v>147</v>
      </c>
      <c r="N20" s="8" t="str">
        <f>IF(ISBLANK(Table1[[#This Row],[Dealer_Name]]), "UNKNOWN", Table1[[#This Row],[Dealer_Name]])</f>
        <v>Metro Honda</v>
      </c>
      <c r="O20" s="8" t="s">
        <v>52</v>
      </c>
      <c r="P20" s="8" t="s">
        <v>31</v>
      </c>
      <c r="Q20" s="10" t="s">
        <v>53</v>
      </c>
      <c r="R20" s="13" t="str">
        <f>IF(ISBLANK(Table1[[#This Row],[Engine_Size]]), "UNKNOWN",Table1[[#This Row],[Engine_Size]])</f>
        <v>1.5L</v>
      </c>
      <c r="S20" s="4" t="s">
        <v>61</v>
      </c>
      <c r="T20" s="8" t="str">
        <f>IF(ISBLANK(Table1[[#This Row],[Color]]), "UNKNOWN", Table1[[#This Row],[Color]])</f>
        <v>Blue</v>
      </c>
      <c r="U20" s="13">
        <v>21000</v>
      </c>
      <c r="V20" s="4">
        <v>2021</v>
      </c>
      <c r="W20" s="4">
        <v>202409</v>
      </c>
      <c r="X20" s="15">
        <f t="shared" si="0"/>
        <v>45565</v>
      </c>
      <c r="Y20" s="4" t="s">
        <v>134</v>
      </c>
      <c r="Z20" s="4" t="s">
        <v>79</v>
      </c>
    </row>
    <row r="21" spans="1:26" x14ac:dyDescent="0.2">
      <c r="A21" s="4" t="s">
        <v>148</v>
      </c>
      <c r="B21" s="8" t="s">
        <v>21</v>
      </c>
      <c r="C21" s="8" t="s">
        <v>149</v>
      </c>
      <c r="D21" s="8" t="s">
        <v>23</v>
      </c>
      <c r="E21" s="4" t="s">
        <v>464</v>
      </c>
      <c r="F21" s="4" t="s">
        <v>25</v>
      </c>
      <c r="G21" s="5">
        <v>18500</v>
      </c>
      <c r="H21" s="5" t="s">
        <v>26</v>
      </c>
      <c r="I21" s="5" t="s">
        <v>150</v>
      </c>
      <c r="J21" s="8" t="s">
        <v>498</v>
      </c>
      <c r="K21" s="8" t="s">
        <v>484</v>
      </c>
      <c r="L21" s="8" t="s">
        <v>151</v>
      </c>
      <c r="M21" s="8" t="s">
        <v>76</v>
      </c>
      <c r="N21" s="8" t="str">
        <f>IF(ISBLANK(Table1[[#This Row],[Dealer_Name]]), "UNKNOWN", Table1[[#This Row],[Dealer_Name]])</f>
        <v>toyota center</v>
      </c>
      <c r="O21" s="8" t="s">
        <v>30</v>
      </c>
      <c r="P21" s="8" t="s">
        <v>31</v>
      </c>
      <c r="Q21" s="10" t="s">
        <v>53</v>
      </c>
      <c r="R21" s="13" t="str">
        <f>IF(ISBLANK(Table1[[#This Row],[Engine_Size]]), "UNKNOWN",Table1[[#This Row],[Engine_Size]])</f>
        <v>1.5L</v>
      </c>
      <c r="S21" s="4" t="s">
        <v>70</v>
      </c>
      <c r="T21" s="8" t="str">
        <f>IF(ISBLANK(Table1[[#This Row],[Color]]), "UNKNOWN", Table1[[#This Row],[Color]])</f>
        <v>Red</v>
      </c>
      <c r="U21" s="13">
        <v>18000</v>
      </c>
      <c r="V21" s="4">
        <v>2022</v>
      </c>
      <c r="W21" s="4">
        <v>202409</v>
      </c>
      <c r="X21" s="15">
        <f t="shared" si="0"/>
        <v>45565</v>
      </c>
      <c r="Y21" s="4" t="s">
        <v>134</v>
      </c>
      <c r="Z21" s="4" t="s">
        <v>79</v>
      </c>
    </row>
    <row r="22" spans="1:26" x14ac:dyDescent="0.2">
      <c r="A22" s="4" t="s">
        <v>152</v>
      </c>
      <c r="B22" s="8" t="s">
        <v>21</v>
      </c>
      <c r="C22" s="8" t="s">
        <v>153</v>
      </c>
      <c r="D22" s="8" t="s">
        <v>90</v>
      </c>
      <c r="E22" s="4" t="s">
        <v>91</v>
      </c>
      <c r="F22" s="4" t="s">
        <v>25</v>
      </c>
      <c r="G22" s="5">
        <v>26500</v>
      </c>
      <c r="H22" s="5" t="s">
        <v>41</v>
      </c>
      <c r="I22" s="5" t="s">
        <v>154</v>
      </c>
      <c r="J22" s="8" t="s">
        <v>499</v>
      </c>
      <c r="K22" s="8" t="s">
        <v>490</v>
      </c>
      <c r="L22" s="8" t="s">
        <v>155</v>
      </c>
      <c r="M22" s="8" t="s">
        <v>29</v>
      </c>
      <c r="N22" s="8" t="str">
        <f>IF(ISBLANK(Table1[[#This Row],[Dealer_Name]]), "UNKNOWN", Table1[[#This Row],[Dealer_Name]])</f>
        <v>Toyota Center</v>
      </c>
      <c r="O22" s="8" t="s">
        <v>30</v>
      </c>
      <c r="P22" s="8" t="s">
        <v>31</v>
      </c>
      <c r="Q22" s="10" t="s">
        <v>156</v>
      </c>
      <c r="R22" s="13" t="str">
        <f>IF(ISBLANK(Table1[[#This Row],[Engine_Size]]), "UNKNOWN",Table1[[#This Row],[Engine_Size]])</f>
        <v>2.0L</v>
      </c>
      <c r="S22" s="4" t="s">
        <v>46</v>
      </c>
      <c r="T22" s="8" t="str">
        <f>IF(ISBLANK(Table1[[#This Row],[Color]]), "UNKNOWN", Table1[[#This Row],[Color]])</f>
        <v>Black</v>
      </c>
      <c r="U22" s="13">
        <v>18000</v>
      </c>
      <c r="V22" s="4">
        <v>2022</v>
      </c>
      <c r="W22" s="4">
        <v>202410</v>
      </c>
      <c r="X22" s="15">
        <f t="shared" si="0"/>
        <v>45596</v>
      </c>
      <c r="Y22" s="4" t="s">
        <v>157</v>
      </c>
      <c r="Z22" s="4" t="s">
        <v>158</v>
      </c>
    </row>
    <row r="23" spans="1:26" x14ac:dyDescent="0.2">
      <c r="A23" s="4" t="s">
        <v>159</v>
      </c>
      <c r="B23" s="8" t="s">
        <v>21</v>
      </c>
      <c r="C23" s="8" t="s">
        <v>63</v>
      </c>
      <c r="D23" s="8" t="s">
        <v>23</v>
      </c>
      <c r="E23" s="4" t="s">
        <v>473</v>
      </c>
      <c r="F23" s="4" t="s">
        <v>25</v>
      </c>
      <c r="G23" s="5">
        <v>28000</v>
      </c>
      <c r="H23" s="5" t="s">
        <v>41</v>
      </c>
      <c r="I23" s="5" t="s">
        <v>160</v>
      </c>
      <c r="J23" s="8" t="s">
        <v>500</v>
      </c>
      <c r="K23" s="8" t="s">
        <v>475</v>
      </c>
      <c r="L23" s="8" t="s">
        <v>161</v>
      </c>
      <c r="M23" s="8" t="s">
        <v>44</v>
      </c>
      <c r="N23" s="8" t="str">
        <f>IF(ISBLANK(Table1[[#This Row],[Dealer_Name]]), "UNKNOWN", Table1[[#This Row],[Dealer_Name]])</f>
        <v>Hyundai Plus</v>
      </c>
      <c r="O23" s="8" t="s">
        <v>30</v>
      </c>
      <c r="P23" s="8" t="s">
        <v>31</v>
      </c>
      <c r="Q23" s="10" t="s">
        <v>156</v>
      </c>
      <c r="R23" s="13" t="str">
        <f>IF(ISBLANK(Table1[[#This Row],[Engine_Size]]), "UNKNOWN",Table1[[#This Row],[Engine_Size]])</f>
        <v>2.0L</v>
      </c>
      <c r="S23" s="4" t="s">
        <v>61</v>
      </c>
      <c r="T23" s="8" t="str">
        <f>IF(ISBLANK(Table1[[#This Row],[Color]]), "UNKNOWN", Table1[[#This Row],[Color]])</f>
        <v>Blue</v>
      </c>
      <c r="U23" s="13">
        <v>15000</v>
      </c>
      <c r="V23" s="4">
        <v>2022</v>
      </c>
      <c r="W23" s="4">
        <v>202410</v>
      </c>
      <c r="X23" s="15">
        <f t="shared" si="0"/>
        <v>45596</v>
      </c>
      <c r="Y23" s="4" t="s">
        <v>157</v>
      </c>
      <c r="Z23" s="4" t="s">
        <v>158</v>
      </c>
    </row>
    <row r="24" spans="1:26" x14ac:dyDescent="0.2">
      <c r="A24" s="4" t="s">
        <v>162</v>
      </c>
      <c r="B24" s="8" t="s">
        <v>21</v>
      </c>
      <c r="C24" s="8" t="s">
        <v>103</v>
      </c>
      <c r="D24" s="8" t="s">
        <v>90</v>
      </c>
      <c r="E24" s="4" t="s">
        <v>482</v>
      </c>
      <c r="F24" s="4" t="s">
        <v>25</v>
      </c>
      <c r="G24" s="5">
        <v>32000</v>
      </c>
      <c r="H24" s="5" t="s">
        <v>41</v>
      </c>
      <c r="I24" s="5" t="s">
        <v>163</v>
      </c>
      <c r="J24" s="8" t="s">
        <v>501</v>
      </c>
      <c r="K24" s="8" t="s">
        <v>479</v>
      </c>
      <c r="L24" s="8" t="s">
        <v>164</v>
      </c>
      <c r="M24" s="8" t="s">
        <v>165</v>
      </c>
      <c r="N24" s="8" t="str">
        <f>IF(ISBLANK(Table1[[#This Row],[Dealer_Name]]), "UNKNOWN", Table1[[#This Row],[Dealer_Name]])</f>
        <v>Tesla Direct</v>
      </c>
      <c r="O24" s="8" t="s">
        <v>30</v>
      </c>
      <c r="P24" s="8" t="s">
        <v>166</v>
      </c>
      <c r="R24" s="14" t="str">
        <f>IF(ISBLANK(Table1[[#This Row],[Engine_Size]]), "UNKNOWN",Table1[[#This Row],[Engine_Size]])</f>
        <v>UNKNOWN</v>
      </c>
      <c r="S24" s="4" t="s">
        <v>54</v>
      </c>
      <c r="T24" s="8" t="str">
        <f>IF(ISBLANK(Table1[[#This Row],[Color]]), "UNKNOWN", Table1[[#This Row],[Color]])</f>
        <v>Silver</v>
      </c>
      <c r="U24" s="13">
        <v>2500</v>
      </c>
      <c r="V24" s="4">
        <v>2024</v>
      </c>
      <c r="W24" s="4">
        <v>202410</v>
      </c>
      <c r="X24" s="15">
        <f t="shared" si="0"/>
        <v>45596</v>
      </c>
      <c r="Y24" s="4" t="s">
        <v>157</v>
      </c>
      <c r="Z24" s="4" t="s">
        <v>158</v>
      </c>
    </row>
    <row r="25" spans="1:26" x14ac:dyDescent="0.2">
      <c r="A25" s="4" t="s">
        <v>167</v>
      </c>
      <c r="B25" s="8" t="s">
        <v>21</v>
      </c>
      <c r="C25" s="8" t="s">
        <v>37</v>
      </c>
      <c r="D25" s="8" t="s">
        <v>38</v>
      </c>
      <c r="E25" s="4" t="s">
        <v>39</v>
      </c>
      <c r="F25" s="4" t="s">
        <v>40</v>
      </c>
      <c r="G25" s="5">
        <v>27000</v>
      </c>
      <c r="H25" s="5" t="s">
        <v>41</v>
      </c>
      <c r="I25" s="5" t="s">
        <v>168</v>
      </c>
      <c r="J25" s="8" t="s">
        <v>502</v>
      </c>
      <c r="K25" s="8" t="s">
        <v>468</v>
      </c>
      <c r="L25" s="8" t="s">
        <v>169</v>
      </c>
      <c r="M25" s="8" t="s">
        <v>147</v>
      </c>
      <c r="N25" s="8" t="str">
        <f>IF(ISBLANK(Table1[[#This Row],[Dealer_Name]]), "UNKNOWN", Table1[[#This Row],[Dealer_Name]])</f>
        <v>Metro Honda</v>
      </c>
      <c r="O25" s="8" t="s">
        <v>52</v>
      </c>
      <c r="P25" s="8" t="s">
        <v>39</v>
      </c>
      <c r="Q25" s="10" t="s">
        <v>53</v>
      </c>
      <c r="R25" s="13" t="str">
        <f>IF(ISBLANK(Table1[[#This Row],[Engine_Size]]), "UNKNOWN",Table1[[#This Row],[Engine_Size]])</f>
        <v>1.5L</v>
      </c>
      <c r="S25" s="4" t="s">
        <v>33</v>
      </c>
      <c r="T25" s="8" t="str">
        <f>IF(ISBLANK(Table1[[#This Row],[Color]]), "UNKNOWN", Table1[[#This Row],[Color]])</f>
        <v>White</v>
      </c>
      <c r="U25" s="13">
        <v>11000</v>
      </c>
      <c r="V25" s="4">
        <v>2023</v>
      </c>
      <c r="W25" s="4">
        <v>202410</v>
      </c>
      <c r="X25" s="15">
        <f t="shared" si="0"/>
        <v>45596</v>
      </c>
      <c r="Y25" s="4" t="s">
        <v>157</v>
      </c>
      <c r="Z25" s="4" t="s">
        <v>158</v>
      </c>
    </row>
    <row r="26" spans="1:26" x14ac:dyDescent="0.2">
      <c r="A26" s="4" t="s">
        <v>170</v>
      </c>
      <c r="B26" s="8" t="s">
        <v>21</v>
      </c>
      <c r="C26" s="8" t="s">
        <v>115</v>
      </c>
      <c r="D26" s="8" t="s">
        <v>23</v>
      </c>
      <c r="E26" s="4" t="s">
        <v>73</v>
      </c>
      <c r="F26" s="4" t="s">
        <v>25</v>
      </c>
      <c r="G26" s="5">
        <v>58500</v>
      </c>
      <c r="H26" s="5" t="s">
        <v>92</v>
      </c>
      <c r="I26" s="5" t="s">
        <v>171</v>
      </c>
      <c r="J26" s="8" t="s">
        <v>503</v>
      </c>
      <c r="K26" s="8" t="s">
        <v>493</v>
      </c>
      <c r="L26" s="8" t="s">
        <v>172</v>
      </c>
      <c r="M26" s="8" t="s">
        <v>29</v>
      </c>
      <c r="N26" s="8" t="str">
        <f>IF(ISBLANK(Table1[[#This Row],[Dealer_Name]]), "UNKNOWN", Table1[[#This Row],[Dealer_Name]])</f>
        <v>Toyota Center</v>
      </c>
      <c r="O26" s="8" t="s">
        <v>30</v>
      </c>
      <c r="P26" s="8" t="s">
        <v>118</v>
      </c>
      <c r="R26" s="14" t="str">
        <f>IF(ISBLANK(Table1[[#This Row],[Engine_Size]]), "UNKNOWN",Table1[[#This Row],[Engine_Size]])</f>
        <v>UNKNOWN</v>
      </c>
      <c r="S26" s="4" t="s">
        <v>61</v>
      </c>
      <c r="T26" s="8" t="str">
        <f>IF(ISBLANK(Table1[[#This Row],[Color]]), "UNKNOWN", Table1[[#This Row],[Color]])</f>
        <v>Blue</v>
      </c>
      <c r="U26" s="13">
        <v>5000</v>
      </c>
      <c r="V26" s="4">
        <v>2024</v>
      </c>
      <c r="W26" s="4">
        <v>202410</v>
      </c>
      <c r="X26" s="15">
        <f t="shared" si="0"/>
        <v>45596</v>
      </c>
      <c r="Y26" s="4" t="s">
        <v>157</v>
      </c>
      <c r="Z26" s="4" t="s">
        <v>158</v>
      </c>
    </row>
    <row r="27" spans="1:26" x14ac:dyDescent="0.2">
      <c r="A27" s="4" t="s">
        <v>173</v>
      </c>
      <c r="B27" s="8" t="s">
        <v>21</v>
      </c>
      <c r="C27" s="8" t="s">
        <v>103</v>
      </c>
      <c r="D27" s="8" t="s">
        <v>90</v>
      </c>
      <c r="E27" s="4" t="s">
        <v>482</v>
      </c>
      <c r="F27" s="4" t="s">
        <v>25</v>
      </c>
      <c r="G27" s="5">
        <v>32000</v>
      </c>
      <c r="H27" s="5" t="s">
        <v>41</v>
      </c>
      <c r="I27" s="5" t="s">
        <v>174</v>
      </c>
      <c r="J27" s="8" t="s">
        <v>504</v>
      </c>
      <c r="K27" s="8" t="s">
        <v>496</v>
      </c>
      <c r="L27" s="8" t="s">
        <v>175</v>
      </c>
      <c r="M27" s="8" t="s">
        <v>142</v>
      </c>
      <c r="N27" s="8" t="str">
        <f>IF(ISBLANK(Table1[[#This Row],[Dealer_Name]]), "UNKNOWN", Table1[[#This Row],[Dealer_Name]])</f>
        <v>Jeep Nation</v>
      </c>
      <c r="O27" s="8" t="s">
        <v>85</v>
      </c>
      <c r="P27" s="8" t="s">
        <v>39</v>
      </c>
      <c r="Q27" s="10" t="s">
        <v>156</v>
      </c>
      <c r="R27" s="13" t="str">
        <f>IF(ISBLANK(Table1[[#This Row],[Engine_Size]]), "UNKNOWN",Table1[[#This Row],[Engine_Size]])</f>
        <v>2.0L</v>
      </c>
      <c r="S27" s="4" t="s">
        <v>46</v>
      </c>
      <c r="T27" s="8" t="str">
        <f>IF(ISBLANK(Table1[[#This Row],[Color]]), "UNKNOWN", Table1[[#This Row],[Color]])</f>
        <v>Black</v>
      </c>
      <c r="U27" s="13">
        <v>6000</v>
      </c>
      <c r="V27" s="4">
        <v>2024</v>
      </c>
      <c r="W27" s="4">
        <v>202410</v>
      </c>
      <c r="X27" s="15">
        <f t="shared" si="0"/>
        <v>45596</v>
      </c>
      <c r="Y27" s="4" t="s">
        <v>157</v>
      </c>
      <c r="Z27" s="4" t="s">
        <v>158</v>
      </c>
    </row>
    <row r="28" spans="1:26" x14ac:dyDescent="0.2">
      <c r="A28" s="4" t="s">
        <v>176</v>
      </c>
      <c r="B28" s="8" t="s">
        <v>21</v>
      </c>
      <c r="C28" s="8" t="s">
        <v>110</v>
      </c>
      <c r="D28" s="8" t="s">
        <v>90</v>
      </c>
      <c r="E28" s="4" t="s">
        <v>482</v>
      </c>
      <c r="F28" s="4" t="s">
        <v>485</v>
      </c>
      <c r="G28" s="5">
        <v>43000</v>
      </c>
      <c r="H28" s="5" t="s">
        <v>92</v>
      </c>
      <c r="I28" s="5" t="s">
        <v>177</v>
      </c>
      <c r="J28" s="8" t="s">
        <v>505</v>
      </c>
      <c r="K28" s="8" t="s">
        <v>484</v>
      </c>
      <c r="L28" s="8" t="s">
        <v>178</v>
      </c>
      <c r="M28" s="8" t="s">
        <v>29</v>
      </c>
      <c r="N28" s="8" t="str">
        <f>IF(ISBLANK(Table1[[#This Row],[Dealer_Name]]), "UNKNOWN", Table1[[#This Row],[Dealer_Name]])</f>
        <v>Toyota Center</v>
      </c>
      <c r="O28" s="8" t="s">
        <v>30</v>
      </c>
      <c r="P28" s="8" t="s">
        <v>166</v>
      </c>
      <c r="R28" s="14" t="str">
        <f>IF(ISBLANK(Table1[[#This Row],[Engine_Size]]), "UNKNOWN",Table1[[#This Row],[Engine_Size]])</f>
        <v>UNKNOWN</v>
      </c>
      <c r="S28" s="4" t="s">
        <v>61</v>
      </c>
      <c r="T28" s="8" t="str">
        <f>IF(ISBLANK(Table1[[#This Row],[Color]]), "UNKNOWN", Table1[[#This Row],[Color]])</f>
        <v>Blue</v>
      </c>
      <c r="U28" s="13">
        <v>4500</v>
      </c>
      <c r="V28" s="4">
        <v>2024</v>
      </c>
      <c r="W28" s="4">
        <v>202411</v>
      </c>
      <c r="X28" s="15">
        <f t="shared" si="0"/>
        <v>45626</v>
      </c>
      <c r="Y28" s="4" t="s">
        <v>179</v>
      </c>
      <c r="Z28" s="4" t="s">
        <v>158</v>
      </c>
    </row>
    <row r="29" spans="1:26" x14ac:dyDescent="0.2">
      <c r="A29" s="4" t="s">
        <v>180</v>
      </c>
      <c r="B29" s="8" t="s">
        <v>21</v>
      </c>
      <c r="C29" s="8" t="s">
        <v>63</v>
      </c>
      <c r="D29" s="8" t="s">
        <v>23</v>
      </c>
      <c r="E29" s="4" t="s">
        <v>473</v>
      </c>
      <c r="F29" s="4" t="s">
        <v>25</v>
      </c>
      <c r="G29" s="5">
        <v>28000</v>
      </c>
      <c r="H29" s="5" t="s">
        <v>41</v>
      </c>
      <c r="I29" s="5" t="s">
        <v>181</v>
      </c>
      <c r="J29" s="8" t="s">
        <v>506</v>
      </c>
      <c r="K29" s="8" t="s">
        <v>487</v>
      </c>
      <c r="L29" s="8" t="s">
        <v>182</v>
      </c>
      <c r="M29" s="8" t="s">
        <v>183</v>
      </c>
      <c r="N29" s="8" t="str">
        <f>IF(ISBLANK(Table1[[#This Row],[Dealer_Name]]), "UNKNOWN", Table1[[#This Row],[Dealer_Name]])</f>
        <v>Nissan Direct</v>
      </c>
      <c r="O29" s="8" t="s">
        <v>85</v>
      </c>
      <c r="P29" s="8" t="s">
        <v>166</v>
      </c>
      <c r="R29" s="14" t="str">
        <f>IF(ISBLANK(Table1[[#This Row],[Engine_Size]]), "UNKNOWN",Table1[[#This Row],[Engine_Size]])</f>
        <v>UNKNOWN</v>
      </c>
      <c r="S29" s="4" t="s">
        <v>46</v>
      </c>
      <c r="T29" s="8" t="str">
        <f>IF(ISBLANK(Table1[[#This Row],[Color]]), "UNKNOWN", Table1[[#This Row],[Color]])</f>
        <v>Black</v>
      </c>
      <c r="U29" s="13">
        <v>3500</v>
      </c>
      <c r="V29" s="4">
        <v>2024</v>
      </c>
      <c r="W29" s="4">
        <v>202411</v>
      </c>
      <c r="X29" s="15">
        <f t="shared" si="0"/>
        <v>45626</v>
      </c>
      <c r="Y29" s="4" t="s">
        <v>179</v>
      </c>
      <c r="Z29" s="4" t="s">
        <v>158</v>
      </c>
    </row>
    <row r="30" spans="1:26" x14ac:dyDescent="0.2">
      <c r="A30" s="4" t="s">
        <v>184</v>
      </c>
      <c r="B30" s="8" t="s">
        <v>21</v>
      </c>
      <c r="C30" s="8" t="s">
        <v>115</v>
      </c>
      <c r="D30" s="8" t="s">
        <v>23</v>
      </c>
      <c r="E30" s="4" t="s">
        <v>73</v>
      </c>
      <c r="F30" s="4" t="s">
        <v>25</v>
      </c>
      <c r="G30" s="5">
        <v>58500</v>
      </c>
      <c r="H30" s="5" t="s">
        <v>92</v>
      </c>
      <c r="I30" s="5" t="s">
        <v>185</v>
      </c>
      <c r="J30" s="8" t="s">
        <v>507</v>
      </c>
      <c r="K30" s="8" t="s">
        <v>490</v>
      </c>
      <c r="L30" s="8" t="s">
        <v>186</v>
      </c>
      <c r="M30" s="8" t="s">
        <v>76</v>
      </c>
      <c r="N30" s="8" t="str">
        <f>IF(ISBLANK(Table1[[#This Row],[Dealer_Name]]), "UNKNOWN", Table1[[#This Row],[Dealer_Name]])</f>
        <v>toyota center</v>
      </c>
      <c r="O30" s="8" t="s">
        <v>30</v>
      </c>
      <c r="P30" s="8" t="s">
        <v>118</v>
      </c>
      <c r="R30" s="14" t="str">
        <f>IF(ISBLANK(Table1[[#This Row],[Engine_Size]]), "UNKNOWN",Table1[[#This Row],[Engine_Size]])</f>
        <v>UNKNOWN</v>
      </c>
      <c r="S30" s="4" t="s">
        <v>124</v>
      </c>
      <c r="T30" s="8" t="str">
        <f>IF(ISBLANK(Table1[[#This Row],[Color]]), "UNKNOWN", Table1[[#This Row],[Color]])</f>
        <v>Yellow</v>
      </c>
      <c r="U30" s="13">
        <v>6000</v>
      </c>
      <c r="V30" s="4">
        <v>2023</v>
      </c>
      <c r="W30" s="4">
        <v>202411</v>
      </c>
      <c r="X30" s="15">
        <f t="shared" si="0"/>
        <v>45626</v>
      </c>
      <c r="Y30" s="4" t="s">
        <v>179</v>
      </c>
      <c r="Z30" s="4" t="s">
        <v>158</v>
      </c>
    </row>
    <row r="31" spans="1:26" x14ac:dyDescent="0.2">
      <c r="A31" s="4" t="s">
        <v>187</v>
      </c>
      <c r="B31" s="8" t="s">
        <v>21</v>
      </c>
      <c r="C31" s="8" t="s">
        <v>63</v>
      </c>
      <c r="D31" s="8" t="s">
        <v>23</v>
      </c>
      <c r="E31" s="4" t="s">
        <v>473</v>
      </c>
      <c r="F31" s="4" t="s">
        <v>25</v>
      </c>
      <c r="G31" s="5">
        <v>28000</v>
      </c>
      <c r="H31" s="5" t="s">
        <v>41</v>
      </c>
      <c r="I31" s="5" t="s">
        <v>188</v>
      </c>
      <c r="J31" s="8" t="s">
        <v>508</v>
      </c>
      <c r="K31" s="8" t="s">
        <v>33</v>
      </c>
      <c r="L31" s="8" t="s">
        <v>189</v>
      </c>
      <c r="M31" s="8" t="s">
        <v>183</v>
      </c>
      <c r="N31" s="8" t="str">
        <f>IF(ISBLANK(Table1[[#This Row],[Dealer_Name]]), "UNKNOWN", Table1[[#This Row],[Dealer_Name]])</f>
        <v>Nissan Direct</v>
      </c>
      <c r="O31" s="8" t="s">
        <v>85</v>
      </c>
      <c r="P31" s="8" t="s">
        <v>31</v>
      </c>
      <c r="Q31" s="10" t="s">
        <v>190</v>
      </c>
      <c r="R31" s="13" t="str">
        <f>IF(ISBLANK(Table1[[#This Row],[Engine_Size]]), "UNKNOWN",Table1[[#This Row],[Engine_Size]])</f>
        <v>3.0L</v>
      </c>
      <c r="S31" s="4" t="s">
        <v>54</v>
      </c>
      <c r="T31" s="8" t="str">
        <f>IF(ISBLANK(Table1[[#This Row],[Color]]), "UNKNOWN", Table1[[#This Row],[Color]])</f>
        <v>Silver</v>
      </c>
      <c r="U31" s="13">
        <v>4000</v>
      </c>
      <c r="V31" s="4">
        <v>2024</v>
      </c>
      <c r="W31" s="4">
        <v>202411</v>
      </c>
      <c r="X31" s="15">
        <f t="shared" si="0"/>
        <v>45626</v>
      </c>
      <c r="Y31" s="4" t="s">
        <v>179</v>
      </c>
      <c r="Z31" s="4" t="s">
        <v>158</v>
      </c>
    </row>
    <row r="32" spans="1:26" x14ac:dyDescent="0.2">
      <c r="A32" s="4" t="s">
        <v>191</v>
      </c>
      <c r="B32" s="8" t="s">
        <v>21</v>
      </c>
      <c r="C32" s="8" t="s">
        <v>110</v>
      </c>
      <c r="D32" s="8" t="s">
        <v>90</v>
      </c>
      <c r="E32" s="4" t="s">
        <v>482</v>
      </c>
      <c r="F32" s="4" t="s">
        <v>485</v>
      </c>
      <c r="G32" s="5">
        <v>43000</v>
      </c>
      <c r="H32" s="5" t="s">
        <v>92</v>
      </c>
      <c r="I32" s="5" t="s">
        <v>192</v>
      </c>
      <c r="J32" s="8" t="s">
        <v>509</v>
      </c>
      <c r="K32" s="8" t="s">
        <v>477</v>
      </c>
      <c r="L32" s="8" t="s">
        <v>193</v>
      </c>
      <c r="M32" s="8" t="s">
        <v>142</v>
      </c>
      <c r="N32" s="8" t="str">
        <f>IF(ISBLANK(Table1[[#This Row],[Dealer_Name]]), "UNKNOWN", Table1[[#This Row],[Dealer_Name]])</f>
        <v>Jeep Nation</v>
      </c>
      <c r="O32" s="8" t="s">
        <v>85</v>
      </c>
      <c r="P32" s="8" t="s">
        <v>31</v>
      </c>
      <c r="Q32" s="10" t="s">
        <v>95</v>
      </c>
      <c r="R32" s="13" t="str">
        <f>IF(ISBLANK(Table1[[#This Row],[Engine_Size]]), "UNKNOWN",Table1[[#This Row],[Engine_Size]])</f>
        <v>5.7L</v>
      </c>
      <c r="S32" s="4" t="s">
        <v>46</v>
      </c>
      <c r="T32" s="8" t="str">
        <f>IF(ISBLANK(Table1[[#This Row],[Color]]), "UNKNOWN", Table1[[#This Row],[Color]])</f>
        <v>Black</v>
      </c>
      <c r="U32" s="13">
        <v>8000</v>
      </c>
      <c r="V32" s="4">
        <v>2023</v>
      </c>
      <c r="W32" s="4">
        <v>202411</v>
      </c>
      <c r="X32" s="15">
        <f t="shared" si="0"/>
        <v>45626</v>
      </c>
      <c r="Y32" s="4" t="s">
        <v>179</v>
      </c>
      <c r="Z32" s="4" t="s">
        <v>158</v>
      </c>
    </row>
    <row r="33" spans="1:26" x14ac:dyDescent="0.2">
      <c r="A33" s="4" t="s">
        <v>194</v>
      </c>
      <c r="B33" s="8" t="s">
        <v>21</v>
      </c>
      <c r="C33" s="8" t="s">
        <v>115</v>
      </c>
      <c r="D33" s="8" t="s">
        <v>23</v>
      </c>
      <c r="E33" s="4" t="s">
        <v>73</v>
      </c>
      <c r="F33" s="4" t="s">
        <v>25</v>
      </c>
      <c r="G33" s="5">
        <v>58500</v>
      </c>
      <c r="H33" s="5" t="s">
        <v>92</v>
      </c>
      <c r="I33" s="5" t="s">
        <v>195</v>
      </c>
      <c r="J33" s="8" t="s">
        <v>510</v>
      </c>
      <c r="K33" s="8" t="s">
        <v>493</v>
      </c>
      <c r="L33" s="8" t="s">
        <v>196</v>
      </c>
      <c r="M33" s="8" t="s">
        <v>29</v>
      </c>
      <c r="N33" s="8" t="str">
        <f>IF(ISBLANK(Table1[[#This Row],[Dealer_Name]]), "UNKNOWN", Table1[[#This Row],[Dealer_Name]])</f>
        <v>Toyota Center</v>
      </c>
      <c r="O33" s="8" t="s">
        <v>30</v>
      </c>
      <c r="P33" s="8" t="s">
        <v>118</v>
      </c>
      <c r="R33" s="14" t="str">
        <f>IF(ISBLANK(Table1[[#This Row],[Engine_Size]]), "UNKNOWN",Table1[[#This Row],[Engine_Size]])</f>
        <v>UNKNOWN</v>
      </c>
      <c r="S33" s="4" t="s">
        <v>61</v>
      </c>
      <c r="T33" s="8" t="str">
        <f>IF(ISBLANK(Table1[[#This Row],[Color]]), "UNKNOWN", Table1[[#This Row],[Color]])</f>
        <v>Blue</v>
      </c>
      <c r="U33" s="13">
        <v>3000</v>
      </c>
      <c r="V33" s="4">
        <v>2024</v>
      </c>
      <c r="W33" s="4">
        <v>202412</v>
      </c>
      <c r="X33" s="15">
        <f t="shared" si="0"/>
        <v>45657</v>
      </c>
      <c r="Y33" s="4" t="s">
        <v>197</v>
      </c>
      <c r="Z33" s="4" t="s">
        <v>158</v>
      </c>
    </row>
    <row r="34" spans="1:26" x14ac:dyDescent="0.2">
      <c r="A34" s="4" t="s">
        <v>198</v>
      </c>
      <c r="B34" s="8" t="s">
        <v>21</v>
      </c>
      <c r="C34" s="8" t="s">
        <v>103</v>
      </c>
      <c r="D34" s="8" t="s">
        <v>90</v>
      </c>
      <c r="E34" s="4" t="s">
        <v>482</v>
      </c>
      <c r="F34" s="4" t="s">
        <v>25</v>
      </c>
      <c r="G34" s="5">
        <v>32000</v>
      </c>
      <c r="H34" s="5" t="s">
        <v>41</v>
      </c>
      <c r="I34" s="5" t="s">
        <v>199</v>
      </c>
      <c r="J34" s="8" t="s">
        <v>511</v>
      </c>
      <c r="K34" s="8" t="s">
        <v>472</v>
      </c>
      <c r="L34" s="8" t="s">
        <v>200</v>
      </c>
      <c r="M34" s="8" t="s">
        <v>44</v>
      </c>
      <c r="N34" s="8" t="str">
        <f>IF(ISBLANK(Table1[[#This Row],[Dealer_Name]]), "UNKNOWN", Table1[[#This Row],[Dealer_Name]])</f>
        <v>Hyundai Plus</v>
      </c>
      <c r="O34" s="8" t="s">
        <v>30</v>
      </c>
      <c r="P34" s="8" t="s">
        <v>31</v>
      </c>
      <c r="Q34" s="10" t="s">
        <v>201</v>
      </c>
      <c r="R34" s="13" t="str">
        <f>IF(ISBLANK(Table1[[#This Row],[Engine_Size]]), "UNKNOWN",Table1[[#This Row],[Engine_Size]])</f>
        <v>3.3L</v>
      </c>
      <c r="S34" s="4" t="s">
        <v>54</v>
      </c>
      <c r="T34" s="8" t="str">
        <f>IF(ISBLANK(Table1[[#This Row],[Color]]), "UNKNOWN", Table1[[#This Row],[Color]])</f>
        <v>Silver</v>
      </c>
      <c r="U34" s="13">
        <v>3500</v>
      </c>
      <c r="V34" s="4">
        <v>2024</v>
      </c>
      <c r="W34" s="4">
        <v>202412</v>
      </c>
      <c r="X34" s="15">
        <f t="shared" ref="X34:X65" si="1">EOMONTH(DATE(LEFT(W34,4), RIGHT(W34,2), 1), 0)</f>
        <v>45657</v>
      </c>
      <c r="Y34" s="4" t="s">
        <v>197</v>
      </c>
      <c r="Z34" s="4" t="s">
        <v>158</v>
      </c>
    </row>
    <row r="35" spans="1:26" x14ac:dyDescent="0.2">
      <c r="A35" s="4" t="s">
        <v>202</v>
      </c>
      <c r="B35" s="8" t="s">
        <v>21</v>
      </c>
      <c r="C35" s="8" t="s">
        <v>63</v>
      </c>
      <c r="D35" s="8" t="s">
        <v>23</v>
      </c>
      <c r="E35" s="4" t="s">
        <v>473</v>
      </c>
      <c r="F35" s="4" t="s">
        <v>25</v>
      </c>
      <c r="G35" s="5">
        <v>28000</v>
      </c>
      <c r="H35" s="5" t="s">
        <v>41</v>
      </c>
      <c r="I35" s="5" t="s">
        <v>203</v>
      </c>
      <c r="J35" s="8" t="s">
        <v>512</v>
      </c>
      <c r="K35" s="8" t="s">
        <v>496</v>
      </c>
      <c r="L35" s="8" t="s">
        <v>204</v>
      </c>
      <c r="M35" s="8" t="s">
        <v>142</v>
      </c>
      <c r="N35" s="8" t="str">
        <f>IF(ISBLANK(Table1[[#This Row],[Dealer_Name]]), "UNKNOWN", Table1[[#This Row],[Dealer_Name]])</f>
        <v>Jeep Nation</v>
      </c>
      <c r="O35" s="8" t="s">
        <v>85</v>
      </c>
      <c r="P35" s="8" t="s">
        <v>31</v>
      </c>
      <c r="Q35" s="10" t="s">
        <v>205</v>
      </c>
      <c r="R35" s="13" t="str">
        <f>IF(ISBLANK(Table1[[#This Row],[Engine_Size]]), "UNKNOWN",Table1[[#This Row],[Engine_Size]])</f>
        <v>6.4L</v>
      </c>
      <c r="S35" s="4" t="s">
        <v>101</v>
      </c>
      <c r="T35" s="8" t="str">
        <f>IF(ISBLANK(Table1[[#This Row],[Color]]), "UNKNOWN", Table1[[#This Row],[Color]])</f>
        <v>Gray</v>
      </c>
      <c r="U35" s="13">
        <v>5000</v>
      </c>
      <c r="V35" s="4">
        <v>2024</v>
      </c>
      <c r="W35" s="4">
        <v>202412</v>
      </c>
      <c r="X35" s="15">
        <f t="shared" si="1"/>
        <v>45657</v>
      </c>
      <c r="Y35" s="4" t="s">
        <v>197</v>
      </c>
      <c r="Z35" s="4" t="s">
        <v>158</v>
      </c>
    </row>
    <row r="36" spans="1:26" x14ac:dyDescent="0.2">
      <c r="A36" s="4" t="s">
        <v>206</v>
      </c>
      <c r="B36" s="8" t="s">
        <v>207</v>
      </c>
      <c r="C36" s="8" t="s">
        <v>208</v>
      </c>
      <c r="D36" s="8" t="s">
        <v>23</v>
      </c>
      <c r="E36" s="4" t="s">
        <v>464</v>
      </c>
      <c r="F36" s="4" t="s">
        <v>25</v>
      </c>
      <c r="G36" s="5">
        <v>24500</v>
      </c>
      <c r="H36" s="5" t="s">
        <v>26</v>
      </c>
      <c r="I36" s="5" t="s">
        <v>209</v>
      </c>
      <c r="J36" s="8" t="s">
        <v>513</v>
      </c>
      <c r="K36" s="8" t="s">
        <v>514</v>
      </c>
      <c r="L36" s="8" t="s">
        <v>210</v>
      </c>
      <c r="M36" s="8" t="s">
        <v>147</v>
      </c>
      <c r="N36" s="8" t="str">
        <f>IF(ISBLANK(Table1[[#This Row],[Dealer_Name]]), "UNKNOWN", Table1[[#This Row],[Dealer_Name]])</f>
        <v>Metro Honda</v>
      </c>
      <c r="O36" s="8" t="s">
        <v>52</v>
      </c>
      <c r="P36" s="8" t="s">
        <v>31</v>
      </c>
      <c r="Q36" s="10" t="s">
        <v>53</v>
      </c>
      <c r="R36" s="13" t="str">
        <f>IF(ISBLANK(Table1[[#This Row],[Engine_Size]]), "UNKNOWN",Table1[[#This Row],[Engine_Size]])</f>
        <v>1.5L</v>
      </c>
      <c r="S36" s="4" t="s">
        <v>61</v>
      </c>
      <c r="T36" s="8" t="str">
        <f>IF(ISBLANK(Table1[[#This Row],[Color]]), "UNKNOWN", Table1[[#This Row],[Color]])</f>
        <v>Blue</v>
      </c>
      <c r="U36" s="13">
        <v>15000</v>
      </c>
      <c r="V36" s="4">
        <v>2021</v>
      </c>
      <c r="W36" s="4">
        <v>202401</v>
      </c>
      <c r="X36" s="15">
        <f t="shared" si="1"/>
        <v>45322</v>
      </c>
      <c r="Y36" s="4" t="s">
        <v>34</v>
      </c>
      <c r="Z36" s="4" t="s">
        <v>35</v>
      </c>
    </row>
    <row r="37" spans="1:26" x14ac:dyDescent="0.2">
      <c r="A37" s="4" t="s">
        <v>211</v>
      </c>
      <c r="B37" s="8" t="s">
        <v>212</v>
      </c>
      <c r="C37" s="8" t="s">
        <v>213</v>
      </c>
      <c r="D37" s="8" t="s">
        <v>23</v>
      </c>
      <c r="E37" s="4" t="s">
        <v>73</v>
      </c>
      <c r="F37" s="4" t="s">
        <v>25</v>
      </c>
      <c r="G37" s="5">
        <v>26800</v>
      </c>
      <c r="H37" s="5" t="s">
        <v>41</v>
      </c>
      <c r="I37" s="5" t="s">
        <v>214</v>
      </c>
      <c r="J37" s="8" t="s">
        <v>515</v>
      </c>
      <c r="K37" s="8" t="s">
        <v>516</v>
      </c>
      <c r="L37" s="8" t="s">
        <v>215</v>
      </c>
      <c r="N37" s="9" t="str">
        <f>IF(ISBLANK(Table1[[#This Row],[Dealer_Name]]), "UNKNOWN", Table1[[#This Row],[Dealer_Name]])</f>
        <v>UNKNOWN</v>
      </c>
      <c r="O37" s="8" t="s">
        <v>52</v>
      </c>
      <c r="P37" s="8" t="s">
        <v>31</v>
      </c>
      <c r="Q37" s="10" t="s">
        <v>60</v>
      </c>
      <c r="R37" s="13" t="str">
        <f>IF(ISBLANK(Table1[[#This Row],[Engine_Size]]), "UNKNOWN",Table1[[#This Row],[Engine_Size]])</f>
        <v>2.5L</v>
      </c>
      <c r="S37" s="4" t="s">
        <v>54</v>
      </c>
      <c r="T37" s="8" t="str">
        <f>IF(ISBLANK(Table1[[#This Row],[Color]]), "UNKNOWN", Table1[[#This Row],[Color]])</f>
        <v>Silver</v>
      </c>
      <c r="U37" s="13">
        <v>22000</v>
      </c>
      <c r="V37" s="4">
        <v>2020</v>
      </c>
      <c r="W37" s="4">
        <v>202402</v>
      </c>
      <c r="X37" s="15">
        <f t="shared" si="1"/>
        <v>45351</v>
      </c>
      <c r="Y37" s="4" t="s">
        <v>47</v>
      </c>
      <c r="Z37" s="4" t="s">
        <v>35</v>
      </c>
    </row>
    <row r="38" spans="1:26" x14ac:dyDescent="0.2">
      <c r="A38" s="4" t="s">
        <v>216</v>
      </c>
      <c r="B38" s="8" t="s">
        <v>217</v>
      </c>
      <c r="C38" s="8" t="s">
        <v>218</v>
      </c>
      <c r="D38" s="8" t="s">
        <v>23</v>
      </c>
      <c r="E38" s="4" t="s">
        <v>464</v>
      </c>
      <c r="F38" s="4" t="s">
        <v>25</v>
      </c>
      <c r="G38" s="5">
        <v>22900</v>
      </c>
      <c r="H38" s="5" t="s">
        <v>26</v>
      </c>
      <c r="I38" s="5" t="s">
        <v>219</v>
      </c>
      <c r="J38" s="8" t="s">
        <v>517</v>
      </c>
      <c r="K38" s="8" t="s">
        <v>518</v>
      </c>
      <c r="L38" s="8" t="s">
        <v>220</v>
      </c>
      <c r="M38" s="8" t="s">
        <v>44</v>
      </c>
      <c r="N38" s="8" t="str">
        <f>IF(ISBLANK(Table1[[#This Row],[Dealer_Name]]), "UNKNOWN", Table1[[#This Row],[Dealer_Name]])</f>
        <v>Hyundai Plus</v>
      </c>
      <c r="O38" s="8" t="s">
        <v>30</v>
      </c>
      <c r="P38" s="8" t="s">
        <v>31</v>
      </c>
      <c r="Q38" s="10" t="s">
        <v>156</v>
      </c>
      <c r="R38" s="13" t="str">
        <f>IF(ISBLANK(Table1[[#This Row],[Engine_Size]]), "UNKNOWN",Table1[[#This Row],[Engine_Size]])</f>
        <v>2.0L</v>
      </c>
      <c r="S38" s="4" t="s">
        <v>70</v>
      </c>
      <c r="T38" s="8" t="str">
        <f>IF(ISBLANK(Table1[[#This Row],[Color]]), "UNKNOWN", Table1[[#This Row],[Color]])</f>
        <v>Red</v>
      </c>
      <c r="U38" s="13">
        <v>12000</v>
      </c>
      <c r="V38" s="4">
        <v>2022</v>
      </c>
      <c r="W38" s="4">
        <v>202402</v>
      </c>
      <c r="X38" s="15">
        <f t="shared" si="1"/>
        <v>45351</v>
      </c>
      <c r="Y38" s="4" t="s">
        <v>47</v>
      </c>
      <c r="Z38" s="4" t="s">
        <v>35</v>
      </c>
    </row>
    <row r="39" spans="1:26" x14ac:dyDescent="0.2">
      <c r="A39" s="4" t="s">
        <v>221</v>
      </c>
      <c r="B39" s="8" t="s">
        <v>222</v>
      </c>
      <c r="C39" s="8" t="s">
        <v>223</v>
      </c>
      <c r="D39" s="8" t="s">
        <v>90</v>
      </c>
      <c r="E39" s="4" t="s">
        <v>91</v>
      </c>
      <c r="F39" s="4" t="s">
        <v>25</v>
      </c>
      <c r="G39" s="5">
        <v>38900</v>
      </c>
      <c r="H39" s="5" t="s">
        <v>41</v>
      </c>
      <c r="I39" s="5" t="s">
        <v>224</v>
      </c>
      <c r="J39" s="8" t="s">
        <v>499</v>
      </c>
      <c r="K39" s="8" t="s">
        <v>519</v>
      </c>
      <c r="L39" s="8" t="s">
        <v>225</v>
      </c>
      <c r="M39" s="8" t="s">
        <v>142</v>
      </c>
      <c r="N39" s="8" t="str">
        <f>IF(ISBLANK(Table1[[#This Row],[Dealer_Name]]), "UNKNOWN", Table1[[#This Row],[Dealer_Name]])</f>
        <v>Jeep Nation</v>
      </c>
      <c r="O39" s="8" t="s">
        <v>85</v>
      </c>
      <c r="P39" s="8" t="s">
        <v>31</v>
      </c>
      <c r="Q39" s="10" t="s">
        <v>86</v>
      </c>
      <c r="R39" s="13" t="str">
        <f>IF(ISBLANK(Table1[[#This Row],[Engine_Size]]), "UNKNOWN",Table1[[#This Row],[Engine_Size]])</f>
        <v>3.6L</v>
      </c>
      <c r="S39" s="4" t="s">
        <v>101</v>
      </c>
      <c r="T39" s="8" t="str">
        <f>IF(ISBLANK(Table1[[#This Row],[Color]]), "UNKNOWN", Table1[[#This Row],[Color]])</f>
        <v>Gray</v>
      </c>
      <c r="U39" s="13">
        <v>35000</v>
      </c>
      <c r="V39" s="4">
        <v>2020</v>
      </c>
      <c r="W39" s="4">
        <v>202402</v>
      </c>
      <c r="X39" s="15">
        <f t="shared" si="1"/>
        <v>45351</v>
      </c>
      <c r="Y39" s="4" t="s">
        <v>47</v>
      </c>
      <c r="Z39" s="4" t="s">
        <v>35</v>
      </c>
    </row>
    <row r="40" spans="1:26" x14ac:dyDescent="0.2">
      <c r="A40" s="4" t="s">
        <v>226</v>
      </c>
      <c r="B40" s="8" t="s">
        <v>227</v>
      </c>
      <c r="C40" s="8" t="s">
        <v>228</v>
      </c>
      <c r="D40" s="8" t="s">
        <v>23</v>
      </c>
      <c r="E40" s="4" t="s">
        <v>73</v>
      </c>
      <c r="F40" s="4" t="s">
        <v>485</v>
      </c>
      <c r="G40" s="5">
        <v>89500</v>
      </c>
      <c r="H40" s="5" t="s">
        <v>229</v>
      </c>
      <c r="I40" s="5" t="s">
        <v>230</v>
      </c>
      <c r="J40" s="8" t="s">
        <v>520</v>
      </c>
      <c r="K40" s="8" t="s">
        <v>521</v>
      </c>
      <c r="L40" s="8" t="s">
        <v>231</v>
      </c>
      <c r="M40" s="8" t="s">
        <v>165</v>
      </c>
      <c r="N40" s="8" t="str">
        <f>IF(ISBLANK(Table1[[#This Row],[Dealer_Name]]), "UNKNOWN", Table1[[#This Row],[Dealer_Name]])</f>
        <v>Tesla Direct</v>
      </c>
      <c r="O40" s="8" t="s">
        <v>30</v>
      </c>
      <c r="P40" s="8" t="s">
        <v>166</v>
      </c>
      <c r="R40" s="14" t="str">
        <f>IF(ISBLANK(Table1[[#This Row],[Engine_Size]]), "UNKNOWN",Table1[[#This Row],[Engine_Size]])</f>
        <v>UNKNOWN</v>
      </c>
      <c r="S40" s="4" t="s">
        <v>70</v>
      </c>
      <c r="T40" s="8" t="str">
        <f>IF(ISBLANK(Table1[[#This Row],[Color]]), "UNKNOWN", Table1[[#This Row],[Color]])</f>
        <v>Red</v>
      </c>
      <c r="U40" s="13">
        <v>8000</v>
      </c>
      <c r="V40" s="4">
        <v>2023</v>
      </c>
      <c r="W40" s="4">
        <v>202403</v>
      </c>
      <c r="X40" s="15">
        <f t="shared" si="1"/>
        <v>45382</v>
      </c>
      <c r="Y40" s="4" t="s">
        <v>55</v>
      </c>
      <c r="Z40" s="4" t="s">
        <v>35</v>
      </c>
    </row>
    <row r="41" spans="1:26" x14ac:dyDescent="0.2">
      <c r="A41" s="4" t="s">
        <v>232</v>
      </c>
      <c r="B41" s="8" t="s">
        <v>212</v>
      </c>
      <c r="C41" s="8" t="s">
        <v>213</v>
      </c>
      <c r="D41" s="8" t="s">
        <v>23</v>
      </c>
      <c r="E41" s="4" t="s">
        <v>73</v>
      </c>
      <c r="F41" s="4" t="s">
        <v>25</v>
      </c>
      <c r="G41" s="5">
        <v>27500</v>
      </c>
      <c r="H41" s="5" t="s">
        <v>41</v>
      </c>
      <c r="I41" s="5" t="s">
        <v>233</v>
      </c>
      <c r="J41" s="8" t="s">
        <v>522</v>
      </c>
      <c r="K41" s="8" t="s">
        <v>496</v>
      </c>
      <c r="L41" s="8" t="s">
        <v>234</v>
      </c>
      <c r="M41" s="8" t="s">
        <v>183</v>
      </c>
      <c r="N41" s="8" t="str">
        <f>IF(ISBLANK(Table1[[#This Row],[Dealer_Name]]), "UNKNOWN", Table1[[#This Row],[Dealer_Name]])</f>
        <v>Nissan Direct</v>
      </c>
      <c r="O41" s="8" t="s">
        <v>85</v>
      </c>
      <c r="P41" s="8" t="s">
        <v>31</v>
      </c>
      <c r="Q41" s="10" t="s">
        <v>60</v>
      </c>
      <c r="R41" s="13" t="str">
        <f>IF(ISBLANK(Table1[[#This Row],[Engine_Size]]), "UNKNOWN",Table1[[#This Row],[Engine_Size]])</f>
        <v>2.5L</v>
      </c>
      <c r="T41" s="9" t="str">
        <f>IF(ISBLANK(Table1[[#This Row],[Color]]), "UNKNOWN", Table1[[#This Row],[Color]])</f>
        <v>UNKNOWN</v>
      </c>
      <c r="U41" s="13">
        <v>26000</v>
      </c>
      <c r="V41" s="4">
        <v>2020</v>
      </c>
      <c r="W41" s="4">
        <v>202403</v>
      </c>
      <c r="X41" s="15">
        <f t="shared" si="1"/>
        <v>45382</v>
      </c>
      <c r="Y41" s="4" t="s">
        <v>55</v>
      </c>
      <c r="Z41" s="4" t="s">
        <v>35</v>
      </c>
    </row>
    <row r="42" spans="1:26" x14ac:dyDescent="0.2">
      <c r="A42" s="4" t="s">
        <v>235</v>
      </c>
      <c r="B42" s="8" t="s">
        <v>222</v>
      </c>
      <c r="C42" s="8" t="s">
        <v>223</v>
      </c>
      <c r="D42" s="8" t="s">
        <v>90</v>
      </c>
      <c r="E42" s="4" t="s">
        <v>91</v>
      </c>
      <c r="F42" s="4" t="s">
        <v>25</v>
      </c>
      <c r="G42" s="5">
        <v>41200</v>
      </c>
      <c r="H42" s="5" t="s">
        <v>92</v>
      </c>
      <c r="I42" s="5" t="s">
        <v>236</v>
      </c>
      <c r="J42" s="8" t="s">
        <v>523</v>
      </c>
      <c r="K42" s="8" t="s">
        <v>33</v>
      </c>
      <c r="L42" s="8" t="s">
        <v>237</v>
      </c>
      <c r="M42" s="8" t="s">
        <v>84</v>
      </c>
      <c r="N42" s="8" t="str">
        <f>IF(ISBLANK(Table1[[#This Row],[Dealer_Name]]), "UNKNOWN", Table1[[#This Row],[Dealer_Name]])</f>
        <v>jeep nation</v>
      </c>
      <c r="O42" s="8" t="s">
        <v>85</v>
      </c>
      <c r="P42" s="8" t="s">
        <v>31</v>
      </c>
      <c r="Q42" s="10" t="s">
        <v>86</v>
      </c>
      <c r="R42" s="13" t="str">
        <f>IF(ISBLANK(Table1[[#This Row],[Engine_Size]]), "UNKNOWN",Table1[[#This Row],[Engine_Size]])</f>
        <v>3.6L</v>
      </c>
      <c r="S42" s="4" t="s">
        <v>46</v>
      </c>
      <c r="T42" s="8" t="str">
        <f>IF(ISBLANK(Table1[[#This Row],[Color]]), "UNKNOWN", Table1[[#This Row],[Color]])</f>
        <v>Black</v>
      </c>
      <c r="U42" s="13">
        <v>29000</v>
      </c>
      <c r="V42" s="4">
        <v>2020</v>
      </c>
      <c r="W42" s="4">
        <v>202403</v>
      </c>
      <c r="X42" s="15">
        <f t="shared" si="1"/>
        <v>45382</v>
      </c>
      <c r="Y42" s="4" t="s">
        <v>55</v>
      </c>
      <c r="Z42" s="4" t="s">
        <v>35</v>
      </c>
    </row>
    <row r="43" spans="1:26" x14ac:dyDescent="0.2">
      <c r="A43" s="4" t="s">
        <v>238</v>
      </c>
      <c r="B43" s="8" t="s">
        <v>217</v>
      </c>
      <c r="C43" s="8" t="s">
        <v>239</v>
      </c>
      <c r="D43" s="8" t="s">
        <v>23</v>
      </c>
      <c r="E43" s="4" t="s">
        <v>464</v>
      </c>
      <c r="F43" s="4" t="s">
        <v>25</v>
      </c>
      <c r="G43" s="5">
        <v>18900</v>
      </c>
      <c r="H43" s="5" t="s">
        <v>26</v>
      </c>
      <c r="I43" s="5" t="s">
        <v>240</v>
      </c>
      <c r="J43" s="8" t="s">
        <v>524</v>
      </c>
      <c r="K43" s="8" t="s">
        <v>487</v>
      </c>
      <c r="L43" s="8" t="s">
        <v>241</v>
      </c>
      <c r="M43" s="8" t="s">
        <v>44</v>
      </c>
      <c r="N43" s="8" t="str">
        <f>IF(ISBLANK(Table1[[#This Row],[Dealer_Name]]), "UNKNOWN", Table1[[#This Row],[Dealer_Name]])</f>
        <v>Hyundai Plus</v>
      </c>
      <c r="O43" s="8" t="s">
        <v>30</v>
      </c>
      <c r="P43" s="8" t="s">
        <v>31</v>
      </c>
      <c r="Q43" s="10" t="s">
        <v>242</v>
      </c>
      <c r="R43" s="13" t="str">
        <f>IF(ISBLANK(Table1[[#This Row],[Engine_Size]]), "UNKNOWN",Table1[[#This Row],[Engine_Size]])</f>
        <v>1.6L</v>
      </c>
      <c r="S43" s="4" t="s">
        <v>70</v>
      </c>
      <c r="T43" s="8" t="str">
        <f>IF(ISBLANK(Table1[[#This Row],[Color]]), "UNKNOWN", Table1[[#This Row],[Color]])</f>
        <v>Red</v>
      </c>
      <c r="U43" s="13">
        <v>14000</v>
      </c>
      <c r="V43" s="4">
        <v>2022</v>
      </c>
      <c r="W43" s="4">
        <v>202407</v>
      </c>
      <c r="X43" s="15">
        <f t="shared" si="1"/>
        <v>45504</v>
      </c>
      <c r="Y43" s="4" t="s">
        <v>78</v>
      </c>
      <c r="Z43" s="4" t="s">
        <v>79</v>
      </c>
    </row>
    <row r="44" spans="1:26" x14ac:dyDescent="0.2">
      <c r="A44" s="4" t="s">
        <v>243</v>
      </c>
      <c r="B44" s="8" t="s">
        <v>244</v>
      </c>
      <c r="C44" s="8" t="s">
        <v>245</v>
      </c>
      <c r="D44" s="8" t="s">
        <v>23</v>
      </c>
      <c r="E44" s="4" t="s">
        <v>73</v>
      </c>
      <c r="F44" s="4" t="s">
        <v>485</v>
      </c>
      <c r="G44" s="5">
        <v>89900</v>
      </c>
      <c r="H44" s="5" t="s">
        <v>229</v>
      </c>
      <c r="I44" s="5" t="s">
        <v>246</v>
      </c>
      <c r="J44" s="8" t="s">
        <v>525</v>
      </c>
      <c r="K44" s="8" t="s">
        <v>468</v>
      </c>
      <c r="L44" s="8" t="s">
        <v>247</v>
      </c>
      <c r="M44" s="8" t="s">
        <v>248</v>
      </c>
      <c r="N44" s="8" t="str">
        <f>IF(ISBLANK(Table1[[#This Row],[Dealer_Name]]), "UNKNOWN", Table1[[#This Row],[Dealer_Name]])</f>
        <v>BMW Elite</v>
      </c>
      <c r="O44" s="8" t="s">
        <v>52</v>
      </c>
      <c r="P44" s="8" t="s">
        <v>31</v>
      </c>
      <c r="Q44" s="10" t="s">
        <v>190</v>
      </c>
      <c r="R44" s="13" t="str">
        <f>IF(ISBLANK(Table1[[#This Row],[Engine_Size]]), "UNKNOWN",Table1[[#This Row],[Engine_Size]])</f>
        <v>3.0L</v>
      </c>
      <c r="S44" s="4" t="s">
        <v>101</v>
      </c>
      <c r="T44" s="8" t="str">
        <f>IF(ISBLANK(Table1[[#This Row],[Color]]), "UNKNOWN", Table1[[#This Row],[Color]])</f>
        <v>Gray</v>
      </c>
      <c r="U44" s="13">
        <v>26000</v>
      </c>
      <c r="V44" s="4">
        <v>2020</v>
      </c>
      <c r="W44" s="4">
        <v>202407</v>
      </c>
      <c r="X44" s="15">
        <f t="shared" si="1"/>
        <v>45504</v>
      </c>
      <c r="Y44" s="4" t="s">
        <v>78</v>
      </c>
      <c r="Z44" s="4" t="s">
        <v>79</v>
      </c>
    </row>
    <row r="45" spans="1:26" x14ac:dyDescent="0.2">
      <c r="A45" s="4" t="s">
        <v>249</v>
      </c>
      <c r="B45" s="8" t="s">
        <v>212</v>
      </c>
      <c r="C45" s="8" t="s">
        <v>250</v>
      </c>
      <c r="D45" s="8" t="s">
        <v>90</v>
      </c>
      <c r="E45" s="4" t="s">
        <v>91</v>
      </c>
      <c r="F45" s="4" t="s">
        <v>25</v>
      </c>
      <c r="G45" s="5">
        <v>51200</v>
      </c>
      <c r="H45" s="5" t="s">
        <v>92</v>
      </c>
      <c r="I45" s="5" t="s">
        <v>251</v>
      </c>
      <c r="J45" s="8" t="s">
        <v>526</v>
      </c>
      <c r="K45" s="8" t="s">
        <v>496</v>
      </c>
      <c r="L45" s="8" t="s">
        <v>252</v>
      </c>
      <c r="M45" s="8" t="s">
        <v>183</v>
      </c>
      <c r="N45" s="8" t="str">
        <f>IF(ISBLANK(Table1[[#This Row],[Dealer_Name]]), "UNKNOWN", Table1[[#This Row],[Dealer_Name]])</f>
        <v>Nissan Direct</v>
      </c>
      <c r="O45" s="8" t="s">
        <v>85</v>
      </c>
      <c r="P45" s="8" t="s">
        <v>31</v>
      </c>
      <c r="Q45" s="10" t="s">
        <v>253</v>
      </c>
      <c r="R45" s="13" t="str">
        <f>IF(ISBLANK(Table1[[#This Row],[Engine_Size]]), "UNKNOWN",Table1[[#This Row],[Engine_Size]])</f>
        <v>5.6L</v>
      </c>
      <c r="S45" s="4" t="s">
        <v>61</v>
      </c>
      <c r="T45" s="8" t="str">
        <f>IF(ISBLANK(Table1[[#This Row],[Color]]), "UNKNOWN", Table1[[#This Row],[Color]])</f>
        <v>Blue</v>
      </c>
      <c r="U45" s="13">
        <v>30000</v>
      </c>
      <c r="V45" s="4">
        <v>2020</v>
      </c>
      <c r="W45" s="4">
        <v>202407</v>
      </c>
      <c r="X45" s="15">
        <f t="shared" si="1"/>
        <v>45504</v>
      </c>
      <c r="Y45" s="4" t="s">
        <v>78</v>
      </c>
      <c r="Z45" s="4" t="s">
        <v>79</v>
      </c>
    </row>
    <row r="46" spans="1:26" x14ac:dyDescent="0.2">
      <c r="A46" s="4" t="s">
        <v>254</v>
      </c>
      <c r="B46" s="8" t="s">
        <v>255</v>
      </c>
      <c r="C46" s="8" t="s">
        <v>256</v>
      </c>
      <c r="D46" s="8" t="s">
        <v>90</v>
      </c>
      <c r="E46" s="4" t="s">
        <v>91</v>
      </c>
      <c r="F46" s="4" t="s">
        <v>25</v>
      </c>
      <c r="G46" s="5">
        <v>38900</v>
      </c>
      <c r="H46" s="5" t="s">
        <v>41</v>
      </c>
      <c r="I46" s="5" t="s">
        <v>257</v>
      </c>
      <c r="J46" s="8" t="s">
        <v>527</v>
      </c>
      <c r="K46" s="8" t="s">
        <v>33</v>
      </c>
      <c r="L46" s="8" t="s">
        <v>258</v>
      </c>
      <c r="M46" s="8" t="s">
        <v>67</v>
      </c>
      <c r="N46" s="8" t="str">
        <f>IF(ISBLANK(Table1[[#This Row],[Dealer_Name]]), "UNKNOWN", Table1[[#This Row],[Dealer_Name]])</f>
        <v>Ford Country</v>
      </c>
      <c r="O46" s="8" t="s">
        <v>68</v>
      </c>
      <c r="P46" s="8" t="s">
        <v>31</v>
      </c>
      <c r="Q46" s="10" t="s">
        <v>259</v>
      </c>
      <c r="R46" s="13" t="str">
        <f>IF(ISBLANK(Table1[[#This Row],[Engine_Size]]), "UNKNOWN",Table1[[#This Row],[Engine_Size]])</f>
        <v>2.3L</v>
      </c>
      <c r="S46" s="4" t="s">
        <v>143</v>
      </c>
      <c r="T46" s="8" t="str">
        <f>IF(ISBLANK(Table1[[#This Row],[Color]]), "UNKNOWN", Table1[[#This Row],[Color]])</f>
        <v>Green</v>
      </c>
      <c r="U46" s="13">
        <v>9000</v>
      </c>
      <c r="V46" s="4">
        <v>2023</v>
      </c>
      <c r="W46" s="4">
        <v>202407</v>
      </c>
      <c r="X46" s="15">
        <f t="shared" si="1"/>
        <v>45504</v>
      </c>
      <c r="Y46" s="4" t="s">
        <v>78</v>
      </c>
      <c r="Z46" s="4" t="s">
        <v>79</v>
      </c>
    </row>
    <row r="47" spans="1:26" x14ac:dyDescent="0.2">
      <c r="A47" s="4" t="s">
        <v>260</v>
      </c>
      <c r="B47" s="8" t="s">
        <v>244</v>
      </c>
      <c r="C47" s="8" t="s">
        <v>261</v>
      </c>
      <c r="D47" s="8" t="s">
        <v>262</v>
      </c>
      <c r="E47" s="4" t="s">
        <v>263</v>
      </c>
      <c r="F47" s="4" t="s">
        <v>485</v>
      </c>
      <c r="G47" s="5">
        <v>99900</v>
      </c>
      <c r="H47" s="5" t="s">
        <v>264</v>
      </c>
      <c r="I47" s="5" t="s">
        <v>265</v>
      </c>
      <c r="J47" s="8" t="s">
        <v>528</v>
      </c>
      <c r="K47" s="8" t="s">
        <v>477</v>
      </c>
      <c r="L47" s="8" t="s">
        <v>266</v>
      </c>
      <c r="M47" s="8" t="s">
        <v>248</v>
      </c>
      <c r="N47" s="8" t="str">
        <f>IF(ISBLANK(Table1[[#This Row],[Dealer_Name]]), "UNKNOWN", Table1[[#This Row],[Dealer_Name]])</f>
        <v>BMW Elite</v>
      </c>
      <c r="O47" s="8" t="s">
        <v>52</v>
      </c>
      <c r="P47" s="8" t="s">
        <v>31</v>
      </c>
      <c r="Q47" s="10" t="s">
        <v>190</v>
      </c>
      <c r="R47" s="13" t="str">
        <f>IF(ISBLANK(Table1[[#This Row],[Engine_Size]]), "UNKNOWN",Table1[[#This Row],[Engine_Size]])</f>
        <v>3.0L</v>
      </c>
      <c r="S47" s="4" t="s">
        <v>61</v>
      </c>
      <c r="T47" s="8" t="str">
        <f>IF(ISBLANK(Table1[[#This Row],[Color]]), "UNKNOWN", Table1[[#This Row],[Color]])</f>
        <v>Blue</v>
      </c>
      <c r="U47" s="13">
        <v>18000</v>
      </c>
      <c r="V47" s="4">
        <v>2022</v>
      </c>
      <c r="W47" s="4">
        <v>202407</v>
      </c>
      <c r="X47" s="15">
        <f t="shared" si="1"/>
        <v>45504</v>
      </c>
      <c r="Y47" s="4" t="s">
        <v>78</v>
      </c>
      <c r="Z47" s="4" t="s">
        <v>79</v>
      </c>
    </row>
    <row r="48" spans="1:26" x14ac:dyDescent="0.2">
      <c r="A48" s="4" t="s">
        <v>267</v>
      </c>
      <c r="B48" s="8" t="s">
        <v>222</v>
      </c>
      <c r="C48" s="8" t="s">
        <v>268</v>
      </c>
      <c r="D48" s="8" t="s">
        <v>90</v>
      </c>
      <c r="E48" s="4" t="s">
        <v>91</v>
      </c>
      <c r="F48" s="4" t="s">
        <v>25</v>
      </c>
      <c r="G48" s="5">
        <v>22900</v>
      </c>
      <c r="H48" s="5" t="s">
        <v>26</v>
      </c>
      <c r="I48" s="5" t="s">
        <v>269</v>
      </c>
      <c r="J48" s="8" t="s">
        <v>529</v>
      </c>
      <c r="K48" s="8" t="s">
        <v>477</v>
      </c>
      <c r="L48" s="8" t="s">
        <v>270</v>
      </c>
      <c r="M48" s="8" t="s">
        <v>142</v>
      </c>
      <c r="N48" s="8" t="str">
        <f>IF(ISBLANK(Table1[[#This Row],[Dealer_Name]]), "UNKNOWN", Table1[[#This Row],[Dealer_Name]])</f>
        <v>Jeep Nation</v>
      </c>
      <c r="O48" s="8" t="s">
        <v>85</v>
      </c>
      <c r="P48" s="8" t="s">
        <v>31</v>
      </c>
      <c r="Q48" s="10" t="s">
        <v>271</v>
      </c>
      <c r="R48" s="13" t="str">
        <f>IF(ISBLANK(Table1[[#This Row],[Engine_Size]]), "UNKNOWN",Table1[[#This Row],[Engine_Size]])</f>
        <v>3.7L</v>
      </c>
      <c r="S48" s="4" t="s">
        <v>54</v>
      </c>
      <c r="T48" s="8" t="str">
        <f>IF(ISBLANK(Table1[[#This Row],[Color]]), "UNKNOWN", Table1[[#This Row],[Color]])</f>
        <v>Silver</v>
      </c>
      <c r="U48" s="13">
        <v>45000</v>
      </c>
      <c r="V48" s="4">
        <v>2016</v>
      </c>
      <c r="W48" s="4">
        <v>202408</v>
      </c>
      <c r="X48" s="15">
        <f t="shared" si="1"/>
        <v>45535</v>
      </c>
      <c r="Y48" s="4" t="s">
        <v>108</v>
      </c>
      <c r="Z48" s="4" t="s">
        <v>79</v>
      </c>
    </row>
    <row r="49" spans="1:26" x14ac:dyDescent="0.2">
      <c r="A49" s="4" t="s">
        <v>272</v>
      </c>
      <c r="B49" s="8" t="s">
        <v>273</v>
      </c>
      <c r="C49" s="8" t="s">
        <v>274</v>
      </c>
      <c r="D49" s="8" t="s">
        <v>90</v>
      </c>
      <c r="E49" s="4" t="s">
        <v>91</v>
      </c>
      <c r="F49" s="4" t="s">
        <v>25</v>
      </c>
      <c r="G49" s="5">
        <v>35200</v>
      </c>
      <c r="H49" s="5" t="s">
        <v>41</v>
      </c>
      <c r="I49" s="5" t="s">
        <v>275</v>
      </c>
      <c r="J49" s="8" t="s">
        <v>530</v>
      </c>
      <c r="K49" s="8" t="s">
        <v>33</v>
      </c>
      <c r="L49" s="8" t="s">
        <v>276</v>
      </c>
      <c r="M49" s="8" t="s">
        <v>99</v>
      </c>
      <c r="N49" s="8" t="str">
        <f>IF(ISBLANK(Table1[[#This Row],[Dealer_Name]]), "UNKNOWN", Table1[[#This Row],[Dealer_Name]])</f>
        <v>Chevy World</v>
      </c>
      <c r="O49" s="8" t="s">
        <v>68</v>
      </c>
      <c r="P49" s="8" t="s">
        <v>31</v>
      </c>
      <c r="Q49" s="10" t="s">
        <v>60</v>
      </c>
      <c r="R49" s="13" t="str">
        <f>IF(ISBLANK(Table1[[#This Row],[Engine_Size]]), "UNKNOWN",Table1[[#This Row],[Engine_Size]])</f>
        <v>2.5L</v>
      </c>
      <c r="S49" s="4" t="s">
        <v>46</v>
      </c>
      <c r="T49" s="8" t="str">
        <f>IF(ISBLANK(Table1[[#This Row],[Color]]), "UNKNOWN", Table1[[#This Row],[Color]])</f>
        <v>Black</v>
      </c>
      <c r="U49" s="13">
        <v>25000</v>
      </c>
      <c r="V49" s="4">
        <v>2020</v>
      </c>
      <c r="W49" s="4">
        <v>202409</v>
      </c>
      <c r="X49" s="15">
        <f t="shared" si="1"/>
        <v>45565</v>
      </c>
      <c r="Y49" s="4" t="s">
        <v>134</v>
      </c>
      <c r="Z49" s="4" t="s">
        <v>79</v>
      </c>
    </row>
    <row r="50" spans="1:26" x14ac:dyDescent="0.2">
      <c r="A50" s="4" t="s">
        <v>277</v>
      </c>
      <c r="B50" s="8" t="s">
        <v>255</v>
      </c>
      <c r="C50" s="8" t="s">
        <v>278</v>
      </c>
      <c r="D50" s="8" t="s">
        <v>90</v>
      </c>
      <c r="E50" s="4" t="s">
        <v>91</v>
      </c>
      <c r="F50" s="4" t="s">
        <v>25</v>
      </c>
      <c r="G50" s="5">
        <v>22900</v>
      </c>
      <c r="H50" s="5" t="s">
        <v>26</v>
      </c>
      <c r="I50" s="5" t="s">
        <v>279</v>
      </c>
      <c r="J50" s="8" t="s">
        <v>531</v>
      </c>
      <c r="K50" s="8" t="s">
        <v>493</v>
      </c>
      <c r="L50" s="8" t="s">
        <v>280</v>
      </c>
      <c r="M50" s="8" t="s">
        <v>67</v>
      </c>
      <c r="N50" s="8" t="str">
        <f>IF(ISBLANK(Table1[[#This Row],[Dealer_Name]]), "UNKNOWN", Table1[[#This Row],[Dealer_Name]])</f>
        <v>Ford Country</v>
      </c>
      <c r="O50" s="8" t="s">
        <v>68</v>
      </c>
      <c r="P50" s="8" t="s">
        <v>31</v>
      </c>
      <c r="Q50" s="10" t="s">
        <v>281</v>
      </c>
      <c r="R50" s="13" t="str">
        <f>IF(ISBLANK(Table1[[#This Row],[Engine_Size]]), "UNKNOWN",Table1[[#This Row],[Engine_Size]])</f>
        <v>1.0L</v>
      </c>
      <c r="S50" s="4" t="s">
        <v>33</v>
      </c>
      <c r="T50" s="8" t="str">
        <f>IF(ISBLANK(Table1[[#This Row],[Color]]), "UNKNOWN", Table1[[#This Row],[Color]])</f>
        <v>White</v>
      </c>
      <c r="U50" s="13">
        <v>19000</v>
      </c>
      <c r="V50" s="4">
        <v>2021</v>
      </c>
      <c r="W50" s="4">
        <v>202409</v>
      </c>
      <c r="X50" s="15">
        <f t="shared" si="1"/>
        <v>45565</v>
      </c>
      <c r="Y50" s="4" t="s">
        <v>134</v>
      </c>
      <c r="Z50" s="4" t="s">
        <v>79</v>
      </c>
    </row>
    <row r="51" spans="1:26" x14ac:dyDescent="0.2">
      <c r="A51" s="4" t="s">
        <v>282</v>
      </c>
      <c r="B51" s="8" t="s">
        <v>222</v>
      </c>
      <c r="C51" s="8" t="s">
        <v>283</v>
      </c>
      <c r="D51" s="8" t="s">
        <v>90</v>
      </c>
      <c r="E51" s="4" t="s">
        <v>91</v>
      </c>
      <c r="F51" s="4" t="s">
        <v>25</v>
      </c>
      <c r="G51" s="5">
        <v>27900</v>
      </c>
      <c r="H51" s="5" t="s">
        <v>41</v>
      </c>
      <c r="I51" s="5" t="s">
        <v>284</v>
      </c>
      <c r="J51" s="8" t="s">
        <v>532</v>
      </c>
      <c r="K51" s="8" t="s">
        <v>477</v>
      </c>
      <c r="L51" s="8" t="s">
        <v>285</v>
      </c>
      <c r="M51" s="8" t="s">
        <v>142</v>
      </c>
      <c r="N51" s="8" t="str">
        <f>IF(ISBLANK(Table1[[#This Row],[Dealer_Name]]), "UNKNOWN", Table1[[#This Row],[Dealer_Name]])</f>
        <v>Jeep Nation</v>
      </c>
      <c r="O51" s="8" t="s">
        <v>85</v>
      </c>
      <c r="P51" s="8" t="s">
        <v>31</v>
      </c>
      <c r="Q51" s="10" t="s">
        <v>286</v>
      </c>
      <c r="R51" s="13" t="str">
        <f>IF(ISBLANK(Table1[[#This Row],[Engine_Size]]), "UNKNOWN",Table1[[#This Row],[Engine_Size]])</f>
        <v>1.3L</v>
      </c>
      <c r="S51" s="4" t="s">
        <v>54</v>
      </c>
      <c r="T51" s="8" t="str">
        <f>IF(ISBLANK(Table1[[#This Row],[Color]]), "UNKNOWN", Table1[[#This Row],[Color]])</f>
        <v>Silver</v>
      </c>
      <c r="U51" s="13">
        <v>13000</v>
      </c>
      <c r="V51" s="4">
        <v>2023</v>
      </c>
      <c r="W51" s="4">
        <v>202410</v>
      </c>
      <c r="X51" s="15">
        <f t="shared" si="1"/>
        <v>45596</v>
      </c>
      <c r="Y51" s="4" t="s">
        <v>157</v>
      </c>
      <c r="Z51" s="4" t="s">
        <v>158</v>
      </c>
    </row>
    <row r="52" spans="1:26" x14ac:dyDescent="0.2">
      <c r="A52" s="4" t="s">
        <v>287</v>
      </c>
      <c r="B52" s="8" t="s">
        <v>273</v>
      </c>
      <c r="C52" s="8" t="s">
        <v>288</v>
      </c>
      <c r="D52" s="8" t="s">
        <v>23</v>
      </c>
      <c r="E52" s="4" t="s">
        <v>73</v>
      </c>
      <c r="F52" s="4" t="s">
        <v>25</v>
      </c>
      <c r="G52" s="5">
        <v>26900</v>
      </c>
      <c r="H52" s="5" t="s">
        <v>41</v>
      </c>
      <c r="I52" s="5" t="s">
        <v>289</v>
      </c>
      <c r="J52" s="8" t="s">
        <v>533</v>
      </c>
      <c r="K52" s="8" t="s">
        <v>33</v>
      </c>
      <c r="L52" s="8" t="s">
        <v>290</v>
      </c>
      <c r="M52" s="8" t="s">
        <v>99</v>
      </c>
      <c r="N52" s="8" t="str">
        <f>IF(ISBLANK(Table1[[#This Row],[Dealer_Name]]), "UNKNOWN", Table1[[#This Row],[Dealer_Name]])</f>
        <v>Chevy World</v>
      </c>
      <c r="O52" s="8" t="s">
        <v>68</v>
      </c>
      <c r="P52" s="8" t="s">
        <v>166</v>
      </c>
      <c r="R52" s="14" t="str">
        <f>IF(ISBLANK(Table1[[#This Row],[Engine_Size]]), "UNKNOWN",Table1[[#This Row],[Engine_Size]])</f>
        <v>UNKNOWN</v>
      </c>
      <c r="S52" s="4" t="s">
        <v>70</v>
      </c>
      <c r="T52" s="8" t="str">
        <f>IF(ISBLANK(Table1[[#This Row],[Color]]), "UNKNOWN", Table1[[#This Row],[Color]])</f>
        <v>Red</v>
      </c>
      <c r="U52" s="13">
        <v>8000</v>
      </c>
      <c r="V52" s="4">
        <v>2023</v>
      </c>
      <c r="W52" s="4">
        <v>202410</v>
      </c>
      <c r="X52" s="15">
        <f t="shared" si="1"/>
        <v>45596</v>
      </c>
      <c r="Y52" s="4" t="s">
        <v>157</v>
      </c>
      <c r="Z52" s="4" t="s">
        <v>158</v>
      </c>
    </row>
    <row r="53" spans="1:26" x14ac:dyDescent="0.2">
      <c r="A53" s="4" t="s">
        <v>291</v>
      </c>
      <c r="B53" s="8" t="s">
        <v>217</v>
      </c>
      <c r="C53" s="8" t="s">
        <v>292</v>
      </c>
      <c r="D53" s="8" t="s">
        <v>23</v>
      </c>
      <c r="E53" s="4" t="s">
        <v>73</v>
      </c>
      <c r="F53" s="4" t="s">
        <v>25</v>
      </c>
      <c r="G53" s="5">
        <v>34500</v>
      </c>
      <c r="H53" s="5" t="s">
        <v>41</v>
      </c>
      <c r="I53" s="5" t="s">
        <v>293</v>
      </c>
      <c r="J53" s="8" t="s">
        <v>534</v>
      </c>
      <c r="K53" s="8" t="s">
        <v>475</v>
      </c>
      <c r="L53" s="8" t="s">
        <v>294</v>
      </c>
      <c r="M53" s="8" t="s">
        <v>138</v>
      </c>
      <c r="N53" s="8" t="str">
        <f>IF(ISBLANK(Table1[[#This Row],[Dealer_Name]]), "UNKNOWN", Table1[[#This Row],[Dealer_Name]])</f>
        <v>hyundai plus</v>
      </c>
      <c r="O53" s="8" t="s">
        <v>30</v>
      </c>
      <c r="P53" s="8" t="s">
        <v>31</v>
      </c>
      <c r="Q53" s="10" t="s">
        <v>156</v>
      </c>
      <c r="R53" s="13" t="str">
        <f>IF(ISBLANK(Table1[[#This Row],[Engine_Size]]), "UNKNOWN",Table1[[#This Row],[Engine_Size]])</f>
        <v>2.0L</v>
      </c>
      <c r="S53" s="4" t="s">
        <v>70</v>
      </c>
      <c r="T53" s="8" t="str">
        <f>IF(ISBLANK(Table1[[#This Row],[Color]]), "UNKNOWN", Table1[[#This Row],[Color]])</f>
        <v>Red</v>
      </c>
      <c r="U53" s="13">
        <v>5000</v>
      </c>
      <c r="V53" s="4">
        <v>2024</v>
      </c>
      <c r="W53" s="4">
        <v>202411</v>
      </c>
      <c r="X53" s="15">
        <f t="shared" si="1"/>
        <v>45626</v>
      </c>
      <c r="Y53" s="4" t="s">
        <v>179</v>
      </c>
      <c r="Z53" s="4" t="s">
        <v>158</v>
      </c>
    </row>
    <row r="54" spans="1:26" x14ac:dyDescent="0.2">
      <c r="A54" s="4" t="s">
        <v>295</v>
      </c>
      <c r="B54" s="8" t="s">
        <v>255</v>
      </c>
      <c r="C54" s="8" t="s">
        <v>296</v>
      </c>
      <c r="D54" s="8" t="s">
        <v>90</v>
      </c>
      <c r="E54" s="4" t="s">
        <v>91</v>
      </c>
      <c r="F54" s="4" t="s">
        <v>25</v>
      </c>
      <c r="G54" s="5">
        <v>29800</v>
      </c>
      <c r="H54" s="5" t="s">
        <v>41</v>
      </c>
      <c r="I54" s="5" t="s">
        <v>297</v>
      </c>
      <c r="J54" s="8" t="s">
        <v>535</v>
      </c>
      <c r="K54" s="8" t="s">
        <v>484</v>
      </c>
      <c r="L54" s="8" t="s">
        <v>298</v>
      </c>
      <c r="M54" s="8" t="s">
        <v>67</v>
      </c>
      <c r="N54" s="8" t="str">
        <f>IF(ISBLANK(Table1[[#This Row],[Dealer_Name]]), "UNKNOWN", Table1[[#This Row],[Dealer_Name]])</f>
        <v>Ford Country</v>
      </c>
      <c r="O54" s="8" t="s">
        <v>68</v>
      </c>
      <c r="P54" s="8" t="s">
        <v>31</v>
      </c>
      <c r="Q54" s="10" t="s">
        <v>53</v>
      </c>
      <c r="R54" s="13" t="str">
        <f>IF(ISBLANK(Table1[[#This Row],[Engine_Size]]), "UNKNOWN",Table1[[#This Row],[Engine_Size]])</f>
        <v>1.5L</v>
      </c>
      <c r="S54" s="4" t="s">
        <v>143</v>
      </c>
      <c r="T54" s="8" t="str">
        <f>IF(ISBLANK(Table1[[#This Row],[Color]]), "UNKNOWN", Table1[[#This Row],[Color]])</f>
        <v>Green</v>
      </c>
      <c r="U54" s="13">
        <v>9000</v>
      </c>
      <c r="V54" s="4">
        <v>2023</v>
      </c>
      <c r="W54" s="4">
        <v>202411</v>
      </c>
      <c r="X54" s="15">
        <f t="shared" si="1"/>
        <v>45626</v>
      </c>
      <c r="Y54" s="4" t="s">
        <v>179</v>
      </c>
      <c r="Z54" s="4" t="s">
        <v>158</v>
      </c>
    </row>
    <row r="55" spans="1:26" x14ac:dyDescent="0.2">
      <c r="A55" s="4" t="s">
        <v>299</v>
      </c>
      <c r="B55" s="8" t="s">
        <v>244</v>
      </c>
      <c r="C55" s="8" t="s">
        <v>300</v>
      </c>
      <c r="D55" s="8" t="s">
        <v>23</v>
      </c>
      <c r="E55" s="4" t="s">
        <v>73</v>
      </c>
      <c r="F55" s="4" t="s">
        <v>485</v>
      </c>
      <c r="G55" s="5">
        <v>69900</v>
      </c>
      <c r="H55" s="5" t="s">
        <v>229</v>
      </c>
      <c r="I55" s="5" t="s">
        <v>301</v>
      </c>
      <c r="J55" s="8" t="s">
        <v>536</v>
      </c>
      <c r="K55" s="8" t="s">
        <v>479</v>
      </c>
      <c r="L55" s="8" t="s">
        <v>302</v>
      </c>
      <c r="M55" s="8" t="s">
        <v>248</v>
      </c>
      <c r="N55" s="8" t="str">
        <f>IF(ISBLANK(Table1[[#This Row],[Dealer_Name]]), "UNKNOWN", Table1[[#This Row],[Dealer_Name]])</f>
        <v>BMW Elite</v>
      </c>
      <c r="O55" s="8" t="s">
        <v>52</v>
      </c>
      <c r="P55" s="8" t="s">
        <v>31</v>
      </c>
      <c r="Q55" s="10" t="s">
        <v>190</v>
      </c>
      <c r="R55" s="13" t="str">
        <f>IF(ISBLANK(Table1[[#This Row],[Engine_Size]]), "UNKNOWN",Table1[[#This Row],[Engine_Size]])</f>
        <v>3.0L</v>
      </c>
      <c r="S55" s="4" t="s">
        <v>33</v>
      </c>
      <c r="T55" s="8" t="str">
        <f>IF(ISBLANK(Table1[[#This Row],[Color]]), "UNKNOWN", Table1[[#This Row],[Color]])</f>
        <v>White</v>
      </c>
      <c r="U55" s="13">
        <v>6000</v>
      </c>
      <c r="V55" s="4">
        <v>2023</v>
      </c>
      <c r="W55" s="4">
        <v>202412</v>
      </c>
      <c r="X55" s="15">
        <f t="shared" si="1"/>
        <v>45657</v>
      </c>
      <c r="Y55" s="4" t="s">
        <v>197</v>
      </c>
      <c r="Z55" s="4" t="s">
        <v>158</v>
      </c>
    </row>
    <row r="56" spans="1:26" x14ac:dyDescent="0.2">
      <c r="A56" s="4" t="s">
        <v>303</v>
      </c>
      <c r="B56" s="8" t="s">
        <v>212</v>
      </c>
      <c r="C56" s="8" t="s">
        <v>304</v>
      </c>
      <c r="D56" s="8" t="s">
        <v>262</v>
      </c>
      <c r="E56" s="4" t="s">
        <v>305</v>
      </c>
      <c r="F56" s="4" t="s">
        <v>25</v>
      </c>
      <c r="G56" s="5">
        <v>115900</v>
      </c>
      <c r="H56" s="5" t="s">
        <v>264</v>
      </c>
      <c r="I56" s="5" t="s">
        <v>306</v>
      </c>
      <c r="J56" s="8" t="s">
        <v>537</v>
      </c>
      <c r="K56" s="8" t="s">
        <v>519</v>
      </c>
      <c r="L56" s="8" t="s">
        <v>307</v>
      </c>
      <c r="M56" s="8" t="s">
        <v>183</v>
      </c>
      <c r="N56" s="8" t="str">
        <f>IF(ISBLANK(Table1[[#This Row],[Dealer_Name]]), "UNKNOWN", Table1[[#This Row],[Dealer_Name]])</f>
        <v>Nissan Direct</v>
      </c>
      <c r="O56" s="8" t="s">
        <v>85</v>
      </c>
      <c r="P56" s="8" t="s">
        <v>31</v>
      </c>
      <c r="Q56" s="10" t="s">
        <v>128</v>
      </c>
      <c r="R56" s="13" t="str">
        <f>IF(ISBLANK(Table1[[#This Row],[Engine_Size]]), "UNKNOWN",Table1[[#This Row],[Engine_Size]])</f>
        <v>3.8L</v>
      </c>
      <c r="S56" s="4" t="s">
        <v>46</v>
      </c>
      <c r="T56" s="8" t="str">
        <f>IF(ISBLANK(Table1[[#This Row],[Color]]), "UNKNOWN", Table1[[#This Row],[Color]])</f>
        <v>Black</v>
      </c>
      <c r="U56" s="13">
        <v>2500</v>
      </c>
      <c r="V56" s="4">
        <v>2024</v>
      </c>
      <c r="W56" s="4">
        <v>202412</v>
      </c>
      <c r="X56" s="15">
        <f t="shared" si="1"/>
        <v>45657</v>
      </c>
      <c r="Y56" s="4" t="s">
        <v>197</v>
      </c>
      <c r="Z56" s="4" t="s">
        <v>158</v>
      </c>
    </row>
    <row r="57" spans="1:26" x14ac:dyDescent="0.2">
      <c r="A57" s="4" t="s">
        <v>308</v>
      </c>
      <c r="B57" s="8" t="s">
        <v>222</v>
      </c>
      <c r="C57" s="8" t="s">
        <v>223</v>
      </c>
      <c r="D57" s="8" t="s">
        <v>90</v>
      </c>
      <c r="E57" s="4" t="s">
        <v>91</v>
      </c>
      <c r="F57" s="4" t="s">
        <v>25</v>
      </c>
      <c r="G57" s="5">
        <v>41200</v>
      </c>
      <c r="H57" s="5" t="s">
        <v>92</v>
      </c>
      <c r="I57" s="5" t="s">
        <v>236</v>
      </c>
      <c r="J57" s="8" t="s">
        <v>523</v>
      </c>
      <c r="K57" s="8" t="s">
        <v>33</v>
      </c>
      <c r="L57" s="8" t="s">
        <v>237</v>
      </c>
      <c r="M57" s="8" t="s">
        <v>84</v>
      </c>
      <c r="N57" s="8" t="str">
        <f>IF(ISBLANK(Table1[[#This Row],[Dealer_Name]]), "UNKNOWN", Table1[[#This Row],[Dealer_Name]])</f>
        <v>jeep nation</v>
      </c>
      <c r="O57" s="8" t="s">
        <v>85</v>
      </c>
      <c r="P57" s="8" t="s">
        <v>31</v>
      </c>
      <c r="Q57" s="10" t="s">
        <v>86</v>
      </c>
      <c r="R57" s="13" t="str">
        <f>IF(ISBLANK(Table1[[#This Row],[Engine_Size]]), "UNKNOWN",Table1[[#This Row],[Engine_Size]])</f>
        <v>3.6L</v>
      </c>
      <c r="S57" s="4" t="s">
        <v>46</v>
      </c>
      <c r="T57" s="8" t="str">
        <f>IF(ISBLANK(Table1[[#This Row],[Color]]), "UNKNOWN", Table1[[#This Row],[Color]])</f>
        <v>Black</v>
      </c>
      <c r="U57" s="13">
        <v>29000</v>
      </c>
      <c r="V57" s="4">
        <v>2020</v>
      </c>
      <c r="W57" s="4">
        <v>202403</v>
      </c>
      <c r="X57" s="15">
        <f t="shared" si="1"/>
        <v>45382</v>
      </c>
      <c r="Y57" s="4" t="s">
        <v>55</v>
      </c>
      <c r="Z57" s="4" t="s">
        <v>35</v>
      </c>
    </row>
    <row r="58" spans="1:26" x14ac:dyDescent="0.2">
      <c r="A58" s="4" t="s">
        <v>309</v>
      </c>
      <c r="B58" s="8" t="s">
        <v>255</v>
      </c>
      <c r="C58" s="8" t="s">
        <v>278</v>
      </c>
      <c r="D58" s="8" t="s">
        <v>90</v>
      </c>
      <c r="E58" s="4" t="s">
        <v>91</v>
      </c>
      <c r="F58" s="4" t="s">
        <v>25</v>
      </c>
      <c r="G58" s="5">
        <v>22900</v>
      </c>
      <c r="H58" s="5" t="s">
        <v>26</v>
      </c>
      <c r="I58" s="5" t="s">
        <v>279</v>
      </c>
      <c r="J58" s="8" t="s">
        <v>531</v>
      </c>
      <c r="K58" s="8" t="s">
        <v>493</v>
      </c>
      <c r="L58" s="8" t="s">
        <v>280</v>
      </c>
      <c r="M58" s="8" t="s">
        <v>67</v>
      </c>
      <c r="N58" s="8" t="str">
        <f>IF(ISBLANK(Table1[[#This Row],[Dealer_Name]]), "UNKNOWN", Table1[[#This Row],[Dealer_Name]])</f>
        <v>Ford Country</v>
      </c>
      <c r="O58" s="8" t="s">
        <v>68</v>
      </c>
      <c r="P58" s="8" t="s">
        <v>31</v>
      </c>
      <c r="Q58" s="10" t="s">
        <v>281</v>
      </c>
      <c r="R58" s="13" t="str">
        <f>IF(ISBLANK(Table1[[#This Row],[Engine_Size]]), "UNKNOWN",Table1[[#This Row],[Engine_Size]])</f>
        <v>1.0L</v>
      </c>
      <c r="S58" s="4" t="s">
        <v>33</v>
      </c>
      <c r="T58" s="8" t="str">
        <f>IF(ISBLANK(Table1[[#This Row],[Color]]), "UNKNOWN", Table1[[#This Row],[Color]])</f>
        <v>White</v>
      </c>
      <c r="U58" s="13">
        <v>19000</v>
      </c>
      <c r="V58" s="4">
        <v>2021</v>
      </c>
      <c r="W58" s="4">
        <v>202409</v>
      </c>
      <c r="X58" s="15">
        <f t="shared" si="1"/>
        <v>45565</v>
      </c>
      <c r="Y58" s="4" t="s">
        <v>134</v>
      </c>
      <c r="Z58" s="4" t="s">
        <v>79</v>
      </c>
    </row>
    <row r="59" spans="1:26" x14ac:dyDescent="0.2">
      <c r="A59" s="4" t="s">
        <v>310</v>
      </c>
      <c r="B59" s="8" t="s">
        <v>212</v>
      </c>
      <c r="C59" s="8" t="s">
        <v>250</v>
      </c>
      <c r="D59" s="8" t="s">
        <v>90</v>
      </c>
      <c r="E59" s="4" t="s">
        <v>91</v>
      </c>
      <c r="F59" s="4" t="s">
        <v>25</v>
      </c>
      <c r="G59" s="5">
        <v>51200</v>
      </c>
      <c r="H59" s="5" t="s">
        <v>92</v>
      </c>
      <c r="I59" s="5" t="s">
        <v>251</v>
      </c>
      <c r="J59" s="8" t="s">
        <v>526</v>
      </c>
      <c r="K59" s="8" t="s">
        <v>496</v>
      </c>
      <c r="L59" s="8" t="s">
        <v>252</v>
      </c>
      <c r="M59" s="8" t="s">
        <v>183</v>
      </c>
      <c r="N59" s="8" t="str">
        <f>IF(ISBLANK(Table1[[#This Row],[Dealer_Name]]), "UNKNOWN", Table1[[#This Row],[Dealer_Name]])</f>
        <v>Nissan Direct</v>
      </c>
      <c r="O59" s="8" t="s">
        <v>85</v>
      </c>
      <c r="P59" s="8" t="s">
        <v>31</v>
      </c>
      <c r="Q59" s="10" t="s">
        <v>253</v>
      </c>
      <c r="R59" s="13" t="str">
        <f>IF(ISBLANK(Table1[[#This Row],[Engine_Size]]), "UNKNOWN",Table1[[#This Row],[Engine_Size]])</f>
        <v>5.6L</v>
      </c>
      <c r="S59" s="4" t="s">
        <v>61</v>
      </c>
      <c r="T59" s="8" t="str">
        <f>IF(ISBLANK(Table1[[#This Row],[Color]]), "UNKNOWN", Table1[[#This Row],[Color]])</f>
        <v>Blue</v>
      </c>
      <c r="U59" s="13">
        <v>30000</v>
      </c>
      <c r="V59" s="4">
        <v>2020</v>
      </c>
      <c r="W59" s="4">
        <v>202407</v>
      </c>
      <c r="X59" s="15">
        <f t="shared" si="1"/>
        <v>45504</v>
      </c>
      <c r="Y59" s="4" t="s">
        <v>78</v>
      </c>
      <c r="Z59" s="4" t="s">
        <v>79</v>
      </c>
    </row>
    <row r="60" spans="1:26" x14ac:dyDescent="0.2">
      <c r="A60" s="4" t="s">
        <v>311</v>
      </c>
      <c r="B60" s="8" t="s">
        <v>222</v>
      </c>
      <c r="C60" s="8" t="s">
        <v>283</v>
      </c>
      <c r="D60" s="8" t="s">
        <v>90</v>
      </c>
      <c r="E60" s="4" t="s">
        <v>91</v>
      </c>
      <c r="F60" s="4" t="s">
        <v>25</v>
      </c>
      <c r="G60" s="5">
        <v>27900</v>
      </c>
      <c r="H60" s="5" t="s">
        <v>41</v>
      </c>
      <c r="I60" s="5" t="s">
        <v>284</v>
      </c>
      <c r="J60" s="8" t="s">
        <v>532</v>
      </c>
      <c r="K60" s="8" t="s">
        <v>477</v>
      </c>
      <c r="L60" s="8" t="s">
        <v>285</v>
      </c>
      <c r="M60" s="8" t="s">
        <v>142</v>
      </c>
      <c r="N60" s="8" t="str">
        <f>IF(ISBLANK(Table1[[#This Row],[Dealer_Name]]), "UNKNOWN", Table1[[#This Row],[Dealer_Name]])</f>
        <v>Jeep Nation</v>
      </c>
      <c r="O60" s="8" t="s">
        <v>85</v>
      </c>
      <c r="P60" s="8" t="s">
        <v>31</v>
      </c>
      <c r="Q60" s="10" t="s">
        <v>286</v>
      </c>
      <c r="R60" s="13" t="str">
        <f>IF(ISBLANK(Table1[[#This Row],[Engine_Size]]), "UNKNOWN",Table1[[#This Row],[Engine_Size]])</f>
        <v>1.3L</v>
      </c>
      <c r="S60" s="4" t="s">
        <v>54</v>
      </c>
      <c r="T60" s="8" t="str">
        <f>IF(ISBLANK(Table1[[#This Row],[Color]]), "UNKNOWN", Table1[[#This Row],[Color]])</f>
        <v>Silver</v>
      </c>
      <c r="U60" s="13">
        <v>13000</v>
      </c>
      <c r="V60" s="4">
        <v>2023</v>
      </c>
      <c r="W60" s="4">
        <v>202410</v>
      </c>
      <c r="X60" s="15">
        <f t="shared" si="1"/>
        <v>45596</v>
      </c>
      <c r="Y60" s="4" t="s">
        <v>157</v>
      </c>
      <c r="Z60" s="4" t="s">
        <v>158</v>
      </c>
    </row>
    <row r="61" spans="1:26" x14ac:dyDescent="0.2">
      <c r="A61" s="4" t="s">
        <v>312</v>
      </c>
      <c r="B61" s="8" t="s">
        <v>222</v>
      </c>
      <c r="C61" s="8" t="s">
        <v>223</v>
      </c>
      <c r="D61" s="8" t="s">
        <v>90</v>
      </c>
      <c r="E61" s="4" t="s">
        <v>91</v>
      </c>
      <c r="F61" s="4" t="s">
        <v>25</v>
      </c>
      <c r="G61" s="5">
        <v>41200</v>
      </c>
      <c r="H61" s="5" t="s">
        <v>92</v>
      </c>
      <c r="I61" s="5" t="s">
        <v>236</v>
      </c>
      <c r="J61" s="8" t="s">
        <v>523</v>
      </c>
      <c r="K61" s="8" t="s">
        <v>33</v>
      </c>
      <c r="L61" s="8" t="s">
        <v>237</v>
      </c>
      <c r="M61" s="8" t="s">
        <v>84</v>
      </c>
      <c r="N61" s="8" t="str">
        <f>IF(ISBLANK(Table1[[#This Row],[Dealer_Name]]), "UNKNOWN", Table1[[#This Row],[Dealer_Name]])</f>
        <v>jeep nation</v>
      </c>
      <c r="O61" s="8" t="s">
        <v>85</v>
      </c>
      <c r="P61" s="8" t="s">
        <v>31</v>
      </c>
      <c r="Q61" s="10" t="s">
        <v>86</v>
      </c>
      <c r="R61" s="13" t="str">
        <f>IF(ISBLANK(Table1[[#This Row],[Engine_Size]]), "UNKNOWN",Table1[[#This Row],[Engine_Size]])</f>
        <v>3.6L</v>
      </c>
      <c r="S61" s="4" t="s">
        <v>46</v>
      </c>
      <c r="T61" s="8" t="str">
        <f>IF(ISBLANK(Table1[[#This Row],[Color]]), "UNKNOWN", Table1[[#This Row],[Color]])</f>
        <v>Black</v>
      </c>
      <c r="U61" s="13">
        <v>29000</v>
      </c>
      <c r="V61" s="4">
        <v>2020</v>
      </c>
      <c r="W61" s="4">
        <v>202403</v>
      </c>
      <c r="X61" s="15">
        <f t="shared" si="1"/>
        <v>45382</v>
      </c>
      <c r="Y61" s="4" t="s">
        <v>55</v>
      </c>
      <c r="Z61" s="4" t="s">
        <v>35</v>
      </c>
    </row>
    <row r="62" spans="1:26" x14ac:dyDescent="0.2">
      <c r="A62" s="4" t="s">
        <v>313</v>
      </c>
      <c r="B62" s="8" t="s">
        <v>212</v>
      </c>
      <c r="C62" s="8" t="s">
        <v>304</v>
      </c>
      <c r="D62" s="8" t="s">
        <v>262</v>
      </c>
      <c r="E62" s="4" t="s">
        <v>305</v>
      </c>
      <c r="F62" s="4" t="s">
        <v>25</v>
      </c>
      <c r="G62" s="5">
        <v>115900</v>
      </c>
      <c r="H62" s="5" t="s">
        <v>264</v>
      </c>
      <c r="I62" s="5" t="s">
        <v>306</v>
      </c>
      <c r="J62" s="8" t="s">
        <v>537</v>
      </c>
      <c r="K62" s="8" t="s">
        <v>519</v>
      </c>
      <c r="L62" s="8" t="s">
        <v>307</v>
      </c>
      <c r="M62" s="8" t="s">
        <v>183</v>
      </c>
      <c r="N62" s="8" t="str">
        <f>IF(ISBLANK(Table1[[#This Row],[Dealer_Name]]), "UNKNOWN", Table1[[#This Row],[Dealer_Name]])</f>
        <v>Nissan Direct</v>
      </c>
      <c r="O62" s="8" t="s">
        <v>85</v>
      </c>
      <c r="P62" s="8" t="s">
        <v>31</v>
      </c>
      <c r="Q62" s="10" t="s">
        <v>128</v>
      </c>
      <c r="R62" s="13" t="str">
        <f>IF(ISBLANK(Table1[[#This Row],[Engine_Size]]), "UNKNOWN",Table1[[#This Row],[Engine_Size]])</f>
        <v>3.8L</v>
      </c>
      <c r="S62" s="4" t="s">
        <v>46</v>
      </c>
      <c r="T62" s="8" t="str">
        <f>IF(ISBLANK(Table1[[#This Row],[Color]]), "UNKNOWN", Table1[[#This Row],[Color]])</f>
        <v>Black</v>
      </c>
      <c r="U62" s="13">
        <v>2500</v>
      </c>
      <c r="V62" s="4">
        <v>2024</v>
      </c>
      <c r="W62" s="4">
        <v>202412</v>
      </c>
      <c r="X62" s="15">
        <f t="shared" si="1"/>
        <v>45657</v>
      </c>
      <c r="Y62" s="4" t="s">
        <v>197</v>
      </c>
      <c r="Z62" s="4" t="s">
        <v>158</v>
      </c>
    </row>
    <row r="63" spans="1:26" x14ac:dyDescent="0.2">
      <c r="A63" s="4" t="s">
        <v>314</v>
      </c>
      <c r="B63" s="8" t="s">
        <v>273</v>
      </c>
      <c r="C63" s="8" t="s">
        <v>274</v>
      </c>
      <c r="D63" s="8" t="s">
        <v>90</v>
      </c>
      <c r="E63" s="4" t="s">
        <v>91</v>
      </c>
      <c r="F63" s="4" t="s">
        <v>25</v>
      </c>
      <c r="G63" s="5">
        <v>35200</v>
      </c>
      <c r="H63" s="5" t="s">
        <v>41</v>
      </c>
      <c r="I63" s="5" t="s">
        <v>275</v>
      </c>
      <c r="J63" s="8" t="s">
        <v>530</v>
      </c>
      <c r="K63" s="8" t="s">
        <v>33</v>
      </c>
      <c r="L63" s="8" t="s">
        <v>276</v>
      </c>
      <c r="M63" s="8" t="s">
        <v>99</v>
      </c>
      <c r="N63" s="8" t="str">
        <f>IF(ISBLANK(Table1[[#This Row],[Dealer_Name]]), "UNKNOWN", Table1[[#This Row],[Dealer_Name]])</f>
        <v>Chevy World</v>
      </c>
      <c r="O63" s="8" t="s">
        <v>68</v>
      </c>
      <c r="P63" s="8" t="s">
        <v>31</v>
      </c>
      <c r="Q63" s="10" t="s">
        <v>60</v>
      </c>
      <c r="R63" s="13" t="str">
        <f>IF(ISBLANK(Table1[[#This Row],[Engine_Size]]), "UNKNOWN",Table1[[#This Row],[Engine_Size]])</f>
        <v>2.5L</v>
      </c>
      <c r="S63" s="4" t="s">
        <v>46</v>
      </c>
      <c r="T63" s="8" t="str">
        <f>IF(ISBLANK(Table1[[#This Row],[Color]]), "UNKNOWN", Table1[[#This Row],[Color]])</f>
        <v>Black</v>
      </c>
      <c r="U63" s="13">
        <v>25000</v>
      </c>
      <c r="V63" s="4">
        <v>2020</v>
      </c>
      <c r="W63" s="4">
        <v>202409</v>
      </c>
      <c r="X63" s="15">
        <f t="shared" si="1"/>
        <v>45565</v>
      </c>
      <c r="Y63" s="4" t="s">
        <v>134</v>
      </c>
      <c r="Z63" s="4" t="s">
        <v>79</v>
      </c>
    </row>
    <row r="64" spans="1:26" x14ac:dyDescent="0.2">
      <c r="A64" s="4" t="s">
        <v>315</v>
      </c>
      <c r="B64" s="8" t="s">
        <v>217</v>
      </c>
      <c r="C64" s="8" t="s">
        <v>292</v>
      </c>
      <c r="D64" s="8" t="s">
        <v>23</v>
      </c>
      <c r="E64" s="4" t="s">
        <v>73</v>
      </c>
      <c r="F64" s="4" t="s">
        <v>25</v>
      </c>
      <c r="G64" s="5">
        <v>34500</v>
      </c>
      <c r="H64" s="5" t="s">
        <v>41</v>
      </c>
      <c r="I64" s="5" t="s">
        <v>293</v>
      </c>
      <c r="J64" s="8" t="s">
        <v>534</v>
      </c>
      <c r="K64" s="8" t="s">
        <v>475</v>
      </c>
      <c r="L64" s="8" t="s">
        <v>294</v>
      </c>
      <c r="M64" s="8" t="s">
        <v>138</v>
      </c>
      <c r="N64" s="8" t="str">
        <f>IF(ISBLANK(Table1[[#This Row],[Dealer_Name]]), "UNKNOWN", Table1[[#This Row],[Dealer_Name]])</f>
        <v>hyundai plus</v>
      </c>
      <c r="O64" s="8" t="s">
        <v>30</v>
      </c>
      <c r="P64" s="8" t="s">
        <v>31</v>
      </c>
      <c r="Q64" s="10" t="s">
        <v>156</v>
      </c>
      <c r="R64" s="13" t="str">
        <f>IF(ISBLANK(Table1[[#This Row],[Engine_Size]]), "UNKNOWN",Table1[[#This Row],[Engine_Size]])</f>
        <v>2.0L</v>
      </c>
      <c r="S64" s="4" t="s">
        <v>70</v>
      </c>
      <c r="T64" s="8" t="str">
        <f>IF(ISBLANK(Table1[[#This Row],[Color]]), "UNKNOWN", Table1[[#This Row],[Color]])</f>
        <v>Red</v>
      </c>
      <c r="U64" s="13">
        <v>5000</v>
      </c>
      <c r="V64" s="4">
        <v>2024</v>
      </c>
      <c r="W64" s="4">
        <v>202411</v>
      </c>
      <c r="X64" s="15">
        <f t="shared" si="1"/>
        <v>45626</v>
      </c>
      <c r="Y64" s="4" t="s">
        <v>179</v>
      </c>
      <c r="Z64" s="4" t="s">
        <v>158</v>
      </c>
    </row>
    <row r="65" spans="1:26" x14ac:dyDescent="0.2">
      <c r="A65" s="4" t="s">
        <v>316</v>
      </c>
      <c r="B65" s="8" t="s">
        <v>255</v>
      </c>
      <c r="C65" s="8" t="s">
        <v>296</v>
      </c>
      <c r="D65" s="8" t="s">
        <v>90</v>
      </c>
      <c r="E65" s="4" t="s">
        <v>91</v>
      </c>
      <c r="F65" s="4" t="s">
        <v>25</v>
      </c>
      <c r="G65" s="5">
        <v>29800</v>
      </c>
      <c r="H65" s="5" t="s">
        <v>41</v>
      </c>
      <c r="I65" s="5" t="s">
        <v>297</v>
      </c>
      <c r="J65" s="8" t="s">
        <v>535</v>
      </c>
      <c r="K65" s="8" t="s">
        <v>484</v>
      </c>
      <c r="L65" s="8" t="s">
        <v>298</v>
      </c>
      <c r="M65" s="8" t="s">
        <v>67</v>
      </c>
      <c r="N65" s="8" t="str">
        <f>IF(ISBLANK(Table1[[#This Row],[Dealer_Name]]), "UNKNOWN", Table1[[#This Row],[Dealer_Name]])</f>
        <v>Ford Country</v>
      </c>
      <c r="O65" s="8" t="s">
        <v>68</v>
      </c>
      <c r="P65" s="8" t="s">
        <v>31</v>
      </c>
      <c r="Q65" s="10" t="s">
        <v>53</v>
      </c>
      <c r="R65" s="13" t="str">
        <f>IF(ISBLANK(Table1[[#This Row],[Engine_Size]]), "UNKNOWN",Table1[[#This Row],[Engine_Size]])</f>
        <v>1.5L</v>
      </c>
      <c r="S65" s="4" t="s">
        <v>143</v>
      </c>
      <c r="T65" s="8" t="str">
        <f>IF(ISBLANK(Table1[[#This Row],[Color]]), "UNKNOWN", Table1[[#This Row],[Color]])</f>
        <v>Green</v>
      </c>
      <c r="U65" s="13">
        <v>9000</v>
      </c>
      <c r="V65" s="4">
        <v>2023</v>
      </c>
      <c r="W65" s="4">
        <v>202411</v>
      </c>
      <c r="X65" s="15">
        <f t="shared" si="1"/>
        <v>45626</v>
      </c>
      <c r="Y65" s="4" t="s">
        <v>179</v>
      </c>
      <c r="Z65" s="4" t="s">
        <v>158</v>
      </c>
    </row>
    <row r="66" spans="1:26" x14ac:dyDescent="0.2">
      <c r="A66" s="4" t="s">
        <v>317</v>
      </c>
      <c r="B66" s="8" t="s">
        <v>222</v>
      </c>
      <c r="C66" s="8" t="s">
        <v>283</v>
      </c>
      <c r="D66" s="8" t="s">
        <v>90</v>
      </c>
      <c r="E66" s="4" t="s">
        <v>91</v>
      </c>
      <c r="F66" s="4" t="s">
        <v>25</v>
      </c>
      <c r="G66" s="5">
        <v>27900</v>
      </c>
      <c r="H66" s="5" t="s">
        <v>41</v>
      </c>
      <c r="I66" s="5" t="s">
        <v>284</v>
      </c>
      <c r="J66" s="8" t="s">
        <v>532</v>
      </c>
      <c r="K66" s="8" t="s">
        <v>477</v>
      </c>
      <c r="L66" s="8" t="s">
        <v>285</v>
      </c>
      <c r="M66" s="8" t="s">
        <v>142</v>
      </c>
      <c r="N66" s="8" t="str">
        <f>IF(ISBLANK(Table1[[#This Row],[Dealer_Name]]), "UNKNOWN", Table1[[#This Row],[Dealer_Name]])</f>
        <v>Jeep Nation</v>
      </c>
      <c r="O66" s="8" t="s">
        <v>85</v>
      </c>
      <c r="P66" s="8" t="s">
        <v>31</v>
      </c>
      <c r="Q66" s="10" t="s">
        <v>286</v>
      </c>
      <c r="R66" s="13" t="str">
        <f>IF(ISBLANK(Table1[[#This Row],[Engine_Size]]), "UNKNOWN",Table1[[#This Row],[Engine_Size]])</f>
        <v>1.3L</v>
      </c>
      <c r="S66" s="4" t="s">
        <v>54</v>
      </c>
      <c r="T66" s="8" t="str">
        <f>IF(ISBLANK(Table1[[#This Row],[Color]]), "UNKNOWN", Table1[[#This Row],[Color]])</f>
        <v>Silver</v>
      </c>
      <c r="U66" s="13">
        <v>13000</v>
      </c>
      <c r="V66" s="4">
        <v>2023</v>
      </c>
      <c r="W66" s="4">
        <v>202410</v>
      </c>
      <c r="X66" s="15">
        <f t="shared" ref="X66:X97" si="2">EOMONTH(DATE(LEFT(W66,4), RIGHT(W66,2), 1), 0)</f>
        <v>45596</v>
      </c>
      <c r="Y66" s="4" t="s">
        <v>157</v>
      </c>
      <c r="Z66" s="4" t="s">
        <v>158</v>
      </c>
    </row>
    <row r="67" spans="1:26" x14ac:dyDescent="0.2">
      <c r="A67" s="4" t="s">
        <v>318</v>
      </c>
      <c r="B67" s="8" t="s">
        <v>222</v>
      </c>
      <c r="C67" s="8" t="s">
        <v>223</v>
      </c>
      <c r="D67" s="8" t="s">
        <v>90</v>
      </c>
      <c r="E67" s="4" t="s">
        <v>91</v>
      </c>
      <c r="F67" s="4" t="s">
        <v>25</v>
      </c>
      <c r="G67" s="5">
        <v>38900</v>
      </c>
      <c r="H67" s="5" t="s">
        <v>41</v>
      </c>
      <c r="I67" s="5" t="s">
        <v>224</v>
      </c>
      <c r="J67" s="8" t="s">
        <v>499</v>
      </c>
      <c r="K67" s="8" t="s">
        <v>519</v>
      </c>
      <c r="L67" s="8" t="s">
        <v>225</v>
      </c>
      <c r="M67" s="8" t="s">
        <v>142</v>
      </c>
      <c r="N67" s="8" t="str">
        <f>IF(ISBLANK(Table1[[#This Row],[Dealer_Name]]), "UNKNOWN", Table1[[#This Row],[Dealer_Name]])</f>
        <v>Jeep Nation</v>
      </c>
      <c r="O67" s="8" t="s">
        <v>85</v>
      </c>
      <c r="P67" s="8" t="s">
        <v>31</v>
      </c>
      <c r="Q67" s="10" t="s">
        <v>86</v>
      </c>
      <c r="R67" s="13" t="str">
        <f>IF(ISBLANK(Table1[[#This Row],[Engine_Size]]), "UNKNOWN",Table1[[#This Row],[Engine_Size]])</f>
        <v>3.6L</v>
      </c>
      <c r="S67" s="4" t="s">
        <v>101</v>
      </c>
      <c r="T67" s="8" t="str">
        <f>IF(ISBLANK(Table1[[#This Row],[Color]]), "UNKNOWN", Table1[[#This Row],[Color]])</f>
        <v>Gray</v>
      </c>
      <c r="U67" s="13">
        <v>35000</v>
      </c>
      <c r="V67" s="4">
        <v>2020</v>
      </c>
      <c r="W67" s="4">
        <v>202402</v>
      </c>
      <c r="X67" s="15">
        <f t="shared" si="2"/>
        <v>45351</v>
      </c>
      <c r="Y67" s="4" t="s">
        <v>47</v>
      </c>
      <c r="Z67" s="4" t="s">
        <v>35</v>
      </c>
    </row>
    <row r="68" spans="1:26" x14ac:dyDescent="0.2">
      <c r="A68" s="4" t="s">
        <v>319</v>
      </c>
      <c r="B68" s="8" t="s">
        <v>255</v>
      </c>
      <c r="C68" s="8" t="s">
        <v>296</v>
      </c>
      <c r="D68" s="8" t="s">
        <v>90</v>
      </c>
      <c r="E68" s="4" t="s">
        <v>91</v>
      </c>
      <c r="F68" s="4" t="s">
        <v>25</v>
      </c>
      <c r="G68" s="5">
        <v>29800</v>
      </c>
      <c r="H68" s="5" t="s">
        <v>41</v>
      </c>
      <c r="I68" s="5" t="s">
        <v>297</v>
      </c>
      <c r="J68" s="8" t="s">
        <v>535</v>
      </c>
      <c r="K68" s="8" t="s">
        <v>484</v>
      </c>
      <c r="L68" s="8" t="s">
        <v>298</v>
      </c>
      <c r="M68" s="8" t="s">
        <v>67</v>
      </c>
      <c r="N68" s="8" t="str">
        <f>IF(ISBLANK(Table1[[#This Row],[Dealer_Name]]), "UNKNOWN", Table1[[#This Row],[Dealer_Name]])</f>
        <v>Ford Country</v>
      </c>
      <c r="O68" s="8" t="s">
        <v>68</v>
      </c>
      <c r="P68" s="8" t="s">
        <v>31</v>
      </c>
      <c r="Q68" s="10" t="s">
        <v>53</v>
      </c>
      <c r="R68" s="13" t="str">
        <f>IF(ISBLANK(Table1[[#This Row],[Engine_Size]]), "UNKNOWN",Table1[[#This Row],[Engine_Size]])</f>
        <v>1.5L</v>
      </c>
      <c r="S68" s="4" t="s">
        <v>143</v>
      </c>
      <c r="T68" s="8" t="str">
        <f>IF(ISBLANK(Table1[[#This Row],[Color]]), "UNKNOWN", Table1[[#This Row],[Color]])</f>
        <v>Green</v>
      </c>
      <c r="U68" s="13">
        <v>9000</v>
      </c>
      <c r="V68" s="4">
        <v>2023</v>
      </c>
      <c r="W68" s="4">
        <v>202411</v>
      </c>
      <c r="X68" s="15">
        <f t="shared" si="2"/>
        <v>45626</v>
      </c>
      <c r="Y68" s="4" t="s">
        <v>179</v>
      </c>
      <c r="Z68" s="4" t="s">
        <v>158</v>
      </c>
    </row>
    <row r="69" spans="1:26" x14ac:dyDescent="0.2">
      <c r="A69" s="4" t="s">
        <v>320</v>
      </c>
      <c r="B69" s="8" t="s">
        <v>217</v>
      </c>
      <c r="C69" s="8" t="s">
        <v>218</v>
      </c>
      <c r="D69" s="8" t="s">
        <v>23</v>
      </c>
      <c r="E69" s="4" t="s">
        <v>464</v>
      </c>
      <c r="F69" s="4" t="s">
        <v>25</v>
      </c>
      <c r="G69" s="5">
        <v>22900</v>
      </c>
      <c r="H69" s="5" t="s">
        <v>26</v>
      </c>
      <c r="I69" s="5" t="s">
        <v>219</v>
      </c>
      <c r="J69" s="8" t="s">
        <v>517</v>
      </c>
      <c r="K69" s="8" t="s">
        <v>518</v>
      </c>
      <c r="L69" s="8" t="s">
        <v>220</v>
      </c>
      <c r="M69" s="8" t="s">
        <v>44</v>
      </c>
      <c r="N69" s="8" t="str">
        <f>IF(ISBLANK(Table1[[#This Row],[Dealer_Name]]), "UNKNOWN", Table1[[#This Row],[Dealer_Name]])</f>
        <v>Hyundai Plus</v>
      </c>
      <c r="O69" s="8" t="s">
        <v>30</v>
      </c>
      <c r="P69" s="8" t="s">
        <v>31</v>
      </c>
      <c r="Q69" s="10" t="s">
        <v>156</v>
      </c>
      <c r="R69" s="13" t="str">
        <f>IF(ISBLANK(Table1[[#This Row],[Engine_Size]]), "UNKNOWN",Table1[[#This Row],[Engine_Size]])</f>
        <v>2.0L</v>
      </c>
      <c r="S69" s="4" t="s">
        <v>70</v>
      </c>
      <c r="T69" s="8" t="str">
        <f>IF(ISBLANK(Table1[[#This Row],[Color]]), "UNKNOWN", Table1[[#This Row],[Color]])</f>
        <v>Red</v>
      </c>
      <c r="U69" s="13">
        <v>12000</v>
      </c>
      <c r="V69" s="4">
        <v>2022</v>
      </c>
      <c r="W69" s="4">
        <v>202402</v>
      </c>
      <c r="X69" s="15">
        <f t="shared" si="2"/>
        <v>45351</v>
      </c>
      <c r="Y69" s="4" t="s">
        <v>47</v>
      </c>
      <c r="Z69" s="4" t="s">
        <v>35</v>
      </c>
    </row>
    <row r="70" spans="1:26" x14ac:dyDescent="0.2">
      <c r="A70" s="4" t="s">
        <v>321</v>
      </c>
      <c r="B70" s="8" t="s">
        <v>273</v>
      </c>
      <c r="C70" s="8" t="s">
        <v>288</v>
      </c>
      <c r="D70" s="8" t="s">
        <v>23</v>
      </c>
      <c r="E70" s="4" t="s">
        <v>73</v>
      </c>
      <c r="F70" s="4" t="s">
        <v>25</v>
      </c>
      <c r="G70" s="5">
        <v>26900</v>
      </c>
      <c r="H70" s="5" t="s">
        <v>41</v>
      </c>
      <c r="I70" s="5" t="s">
        <v>289</v>
      </c>
      <c r="J70" s="8" t="s">
        <v>533</v>
      </c>
      <c r="K70" s="8" t="s">
        <v>33</v>
      </c>
      <c r="L70" s="8" t="s">
        <v>290</v>
      </c>
      <c r="M70" s="8" t="s">
        <v>99</v>
      </c>
      <c r="N70" s="8" t="str">
        <f>IF(ISBLANK(Table1[[#This Row],[Dealer_Name]]), "UNKNOWN", Table1[[#This Row],[Dealer_Name]])</f>
        <v>Chevy World</v>
      </c>
      <c r="O70" s="8" t="s">
        <v>68</v>
      </c>
      <c r="P70" s="8" t="s">
        <v>166</v>
      </c>
      <c r="R70" s="14" t="str">
        <f>IF(ISBLANK(Table1[[#This Row],[Engine_Size]]), "UNKNOWN",Table1[[#This Row],[Engine_Size]])</f>
        <v>UNKNOWN</v>
      </c>
      <c r="S70" s="4" t="s">
        <v>70</v>
      </c>
      <c r="T70" s="8" t="str">
        <f>IF(ISBLANK(Table1[[#This Row],[Color]]), "UNKNOWN", Table1[[#This Row],[Color]])</f>
        <v>Red</v>
      </c>
      <c r="U70" s="13">
        <v>8000</v>
      </c>
      <c r="V70" s="4">
        <v>2023</v>
      </c>
      <c r="W70" s="4">
        <v>202410</v>
      </c>
      <c r="X70" s="15">
        <f t="shared" si="2"/>
        <v>45596</v>
      </c>
      <c r="Y70" s="4" t="s">
        <v>157</v>
      </c>
      <c r="Z70" s="4" t="s">
        <v>158</v>
      </c>
    </row>
    <row r="71" spans="1:26" x14ac:dyDescent="0.2">
      <c r="A71" s="4" t="s">
        <v>322</v>
      </c>
      <c r="B71" s="8" t="s">
        <v>222</v>
      </c>
      <c r="C71" s="8" t="s">
        <v>283</v>
      </c>
      <c r="D71" s="8" t="s">
        <v>90</v>
      </c>
      <c r="E71" s="4" t="s">
        <v>91</v>
      </c>
      <c r="F71" s="4" t="s">
        <v>25</v>
      </c>
      <c r="G71" s="5">
        <v>27900</v>
      </c>
      <c r="H71" s="5" t="s">
        <v>41</v>
      </c>
      <c r="I71" s="5" t="s">
        <v>284</v>
      </c>
      <c r="J71" s="8" t="s">
        <v>532</v>
      </c>
      <c r="K71" s="8" t="s">
        <v>477</v>
      </c>
      <c r="L71" s="8" t="s">
        <v>285</v>
      </c>
      <c r="M71" s="8" t="s">
        <v>142</v>
      </c>
      <c r="N71" s="8" t="str">
        <f>IF(ISBLANK(Table1[[#This Row],[Dealer_Name]]), "UNKNOWN", Table1[[#This Row],[Dealer_Name]])</f>
        <v>Jeep Nation</v>
      </c>
      <c r="O71" s="8" t="s">
        <v>85</v>
      </c>
      <c r="P71" s="8" t="s">
        <v>31</v>
      </c>
      <c r="Q71" s="10" t="s">
        <v>286</v>
      </c>
      <c r="R71" s="13" t="str">
        <f>IF(ISBLANK(Table1[[#This Row],[Engine_Size]]), "UNKNOWN",Table1[[#This Row],[Engine_Size]])</f>
        <v>1.3L</v>
      </c>
      <c r="S71" s="4" t="s">
        <v>54</v>
      </c>
      <c r="T71" s="8" t="str">
        <f>IF(ISBLANK(Table1[[#This Row],[Color]]), "UNKNOWN", Table1[[#This Row],[Color]])</f>
        <v>Silver</v>
      </c>
      <c r="U71" s="13">
        <v>13000</v>
      </c>
      <c r="V71" s="4">
        <v>2023</v>
      </c>
      <c r="W71" s="4">
        <v>202410</v>
      </c>
      <c r="X71" s="15">
        <f t="shared" si="2"/>
        <v>45596</v>
      </c>
      <c r="Y71" s="4" t="s">
        <v>157</v>
      </c>
      <c r="Z71" s="4" t="s">
        <v>158</v>
      </c>
    </row>
    <row r="72" spans="1:26" x14ac:dyDescent="0.2">
      <c r="A72" s="4" t="s">
        <v>323</v>
      </c>
      <c r="B72" s="8" t="s">
        <v>212</v>
      </c>
      <c r="C72" s="8" t="s">
        <v>213</v>
      </c>
      <c r="D72" s="8" t="s">
        <v>23</v>
      </c>
      <c r="E72" s="4" t="s">
        <v>73</v>
      </c>
      <c r="F72" s="4" t="s">
        <v>25</v>
      </c>
      <c r="G72" s="5">
        <v>26800</v>
      </c>
      <c r="H72" s="5" t="s">
        <v>41</v>
      </c>
      <c r="I72" s="5" t="s">
        <v>214</v>
      </c>
      <c r="J72" s="8" t="s">
        <v>515</v>
      </c>
      <c r="K72" s="8" t="s">
        <v>516</v>
      </c>
      <c r="L72" s="8" t="s">
        <v>215</v>
      </c>
      <c r="N72" s="9" t="str">
        <f>IF(ISBLANK(Table1[[#This Row],[Dealer_Name]]), "UNKNOWN", Table1[[#This Row],[Dealer_Name]])</f>
        <v>UNKNOWN</v>
      </c>
      <c r="O72" s="8" t="s">
        <v>52</v>
      </c>
      <c r="P72" s="8" t="s">
        <v>31</v>
      </c>
      <c r="Q72" s="10" t="s">
        <v>60</v>
      </c>
      <c r="R72" s="13" t="str">
        <f>IF(ISBLANK(Table1[[#This Row],[Engine_Size]]), "UNKNOWN",Table1[[#This Row],[Engine_Size]])</f>
        <v>2.5L</v>
      </c>
      <c r="S72" s="4" t="s">
        <v>54</v>
      </c>
      <c r="T72" s="8" t="str">
        <f>IF(ISBLANK(Table1[[#This Row],[Color]]), "UNKNOWN", Table1[[#This Row],[Color]])</f>
        <v>Silver</v>
      </c>
      <c r="U72" s="13">
        <v>22000</v>
      </c>
      <c r="V72" s="4">
        <v>2020</v>
      </c>
      <c r="W72" s="4">
        <v>202402</v>
      </c>
      <c r="X72" s="15">
        <f t="shared" si="2"/>
        <v>45351</v>
      </c>
      <c r="Y72" s="4" t="s">
        <v>47</v>
      </c>
      <c r="Z72" s="4" t="s">
        <v>35</v>
      </c>
    </row>
    <row r="73" spans="1:26" x14ac:dyDescent="0.2">
      <c r="A73" s="4" t="s">
        <v>324</v>
      </c>
      <c r="B73" s="8" t="s">
        <v>255</v>
      </c>
      <c r="C73" s="8" t="s">
        <v>296</v>
      </c>
      <c r="D73" s="8" t="s">
        <v>90</v>
      </c>
      <c r="E73" s="4" t="s">
        <v>91</v>
      </c>
      <c r="F73" s="4" t="s">
        <v>25</v>
      </c>
      <c r="G73" s="5">
        <v>29800</v>
      </c>
      <c r="H73" s="5" t="s">
        <v>41</v>
      </c>
      <c r="I73" s="5" t="s">
        <v>297</v>
      </c>
      <c r="J73" s="8" t="s">
        <v>535</v>
      </c>
      <c r="K73" s="8" t="s">
        <v>484</v>
      </c>
      <c r="L73" s="8" t="s">
        <v>298</v>
      </c>
      <c r="M73" s="8" t="s">
        <v>67</v>
      </c>
      <c r="N73" s="8" t="str">
        <f>IF(ISBLANK(Table1[[#This Row],[Dealer_Name]]), "UNKNOWN", Table1[[#This Row],[Dealer_Name]])</f>
        <v>Ford Country</v>
      </c>
      <c r="O73" s="8" t="s">
        <v>68</v>
      </c>
      <c r="P73" s="8" t="s">
        <v>31</v>
      </c>
      <c r="Q73" s="10" t="s">
        <v>53</v>
      </c>
      <c r="R73" s="13" t="str">
        <f>IF(ISBLANK(Table1[[#This Row],[Engine_Size]]), "UNKNOWN",Table1[[#This Row],[Engine_Size]])</f>
        <v>1.5L</v>
      </c>
      <c r="S73" s="4" t="s">
        <v>143</v>
      </c>
      <c r="T73" s="8" t="str">
        <f>IF(ISBLANK(Table1[[#This Row],[Color]]), "UNKNOWN", Table1[[#This Row],[Color]])</f>
        <v>Green</v>
      </c>
      <c r="U73" s="13">
        <v>9000</v>
      </c>
      <c r="V73" s="4">
        <v>2023</v>
      </c>
      <c r="W73" s="4">
        <v>202411</v>
      </c>
      <c r="X73" s="15">
        <f t="shared" si="2"/>
        <v>45626</v>
      </c>
      <c r="Y73" s="4" t="s">
        <v>179</v>
      </c>
      <c r="Z73" s="4" t="s">
        <v>158</v>
      </c>
    </row>
    <row r="74" spans="1:26" x14ac:dyDescent="0.2">
      <c r="A74" s="4" t="s">
        <v>325</v>
      </c>
      <c r="B74" s="8" t="s">
        <v>212</v>
      </c>
      <c r="C74" s="8" t="s">
        <v>213</v>
      </c>
      <c r="D74" s="8" t="s">
        <v>23</v>
      </c>
      <c r="E74" s="4" t="s">
        <v>73</v>
      </c>
      <c r="F74" s="4" t="s">
        <v>25</v>
      </c>
      <c r="G74" s="5">
        <v>27500</v>
      </c>
      <c r="H74" s="5" t="s">
        <v>41</v>
      </c>
      <c r="I74" s="5" t="s">
        <v>233</v>
      </c>
      <c r="J74" s="8" t="s">
        <v>522</v>
      </c>
      <c r="K74" s="8" t="s">
        <v>496</v>
      </c>
      <c r="L74" s="8" t="s">
        <v>234</v>
      </c>
      <c r="M74" s="8" t="s">
        <v>183</v>
      </c>
      <c r="N74" s="8" t="str">
        <f>IF(ISBLANK(Table1[[#This Row],[Dealer_Name]]), "UNKNOWN", Table1[[#This Row],[Dealer_Name]])</f>
        <v>Nissan Direct</v>
      </c>
      <c r="O74" s="8" t="s">
        <v>85</v>
      </c>
      <c r="P74" s="8" t="s">
        <v>31</v>
      </c>
      <c r="Q74" s="10" t="s">
        <v>60</v>
      </c>
      <c r="R74" s="13" t="str">
        <f>IF(ISBLANK(Table1[[#This Row],[Engine_Size]]), "UNKNOWN",Table1[[#This Row],[Engine_Size]])</f>
        <v>2.5L</v>
      </c>
      <c r="T74" s="9" t="str">
        <f>IF(ISBLANK(Table1[[#This Row],[Color]]), "UNKNOWN", Table1[[#This Row],[Color]])</f>
        <v>UNKNOWN</v>
      </c>
      <c r="U74" s="13">
        <v>26000</v>
      </c>
      <c r="V74" s="4">
        <v>2020</v>
      </c>
      <c r="W74" s="4">
        <v>202403</v>
      </c>
      <c r="X74" s="15">
        <f t="shared" si="2"/>
        <v>45382</v>
      </c>
      <c r="Y74" s="4" t="s">
        <v>55</v>
      </c>
      <c r="Z74" s="4" t="s">
        <v>35</v>
      </c>
    </row>
    <row r="75" spans="1:26" x14ac:dyDescent="0.2">
      <c r="A75" s="4" t="s">
        <v>326</v>
      </c>
      <c r="B75" s="8" t="s">
        <v>212</v>
      </c>
      <c r="C75" s="8" t="s">
        <v>213</v>
      </c>
      <c r="D75" s="8" t="s">
        <v>23</v>
      </c>
      <c r="E75" s="4" t="s">
        <v>73</v>
      </c>
      <c r="F75" s="4" t="s">
        <v>25</v>
      </c>
      <c r="G75" s="5">
        <v>26800</v>
      </c>
      <c r="H75" s="5" t="s">
        <v>41</v>
      </c>
      <c r="I75" s="5" t="s">
        <v>214</v>
      </c>
      <c r="J75" s="8" t="s">
        <v>515</v>
      </c>
      <c r="K75" s="8" t="s">
        <v>516</v>
      </c>
      <c r="L75" s="8" t="s">
        <v>215</v>
      </c>
      <c r="N75" s="9" t="str">
        <f>IF(ISBLANK(Table1[[#This Row],[Dealer_Name]]), "UNKNOWN", Table1[[#This Row],[Dealer_Name]])</f>
        <v>UNKNOWN</v>
      </c>
      <c r="O75" s="8" t="s">
        <v>52</v>
      </c>
      <c r="P75" s="8" t="s">
        <v>31</v>
      </c>
      <c r="Q75" s="10" t="s">
        <v>60</v>
      </c>
      <c r="R75" s="13" t="str">
        <f>IF(ISBLANK(Table1[[#This Row],[Engine_Size]]), "UNKNOWN",Table1[[#This Row],[Engine_Size]])</f>
        <v>2.5L</v>
      </c>
      <c r="S75" s="4" t="s">
        <v>54</v>
      </c>
      <c r="T75" s="8" t="str">
        <f>IF(ISBLANK(Table1[[#This Row],[Color]]), "UNKNOWN", Table1[[#This Row],[Color]])</f>
        <v>Silver</v>
      </c>
      <c r="U75" s="13">
        <v>22000</v>
      </c>
      <c r="V75" s="4">
        <v>2020</v>
      </c>
      <c r="W75" s="4">
        <v>202402</v>
      </c>
      <c r="X75" s="15">
        <f t="shared" si="2"/>
        <v>45351</v>
      </c>
      <c r="Y75" s="4" t="s">
        <v>47</v>
      </c>
      <c r="Z75" s="4" t="s">
        <v>35</v>
      </c>
    </row>
    <row r="76" spans="1:26" x14ac:dyDescent="0.2">
      <c r="A76" s="4" t="s">
        <v>327</v>
      </c>
      <c r="B76" s="8" t="s">
        <v>222</v>
      </c>
      <c r="C76" s="8" t="s">
        <v>283</v>
      </c>
      <c r="D76" s="8" t="s">
        <v>90</v>
      </c>
      <c r="E76" s="4" t="s">
        <v>91</v>
      </c>
      <c r="F76" s="4" t="s">
        <v>25</v>
      </c>
      <c r="G76" s="5">
        <v>27900</v>
      </c>
      <c r="H76" s="5" t="s">
        <v>41</v>
      </c>
      <c r="I76" s="5" t="s">
        <v>284</v>
      </c>
      <c r="J76" s="8" t="s">
        <v>532</v>
      </c>
      <c r="K76" s="8" t="s">
        <v>477</v>
      </c>
      <c r="L76" s="8" t="s">
        <v>285</v>
      </c>
      <c r="M76" s="8" t="s">
        <v>142</v>
      </c>
      <c r="N76" s="8" t="str">
        <f>IF(ISBLANK(Table1[[#This Row],[Dealer_Name]]), "UNKNOWN", Table1[[#This Row],[Dealer_Name]])</f>
        <v>Jeep Nation</v>
      </c>
      <c r="O76" s="8" t="s">
        <v>85</v>
      </c>
      <c r="P76" s="8" t="s">
        <v>31</v>
      </c>
      <c r="Q76" s="10" t="s">
        <v>286</v>
      </c>
      <c r="R76" s="13" t="str">
        <f>IF(ISBLANK(Table1[[#This Row],[Engine_Size]]), "UNKNOWN",Table1[[#This Row],[Engine_Size]])</f>
        <v>1.3L</v>
      </c>
      <c r="S76" s="4" t="s">
        <v>54</v>
      </c>
      <c r="T76" s="8" t="str">
        <f>IF(ISBLANK(Table1[[#This Row],[Color]]), "UNKNOWN", Table1[[#This Row],[Color]])</f>
        <v>Silver</v>
      </c>
      <c r="U76" s="13">
        <v>13000</v>
      </c>
      <c r="V76" s="4">
        <v>2023</v>
      </c>
      <c r="W76" s="4">
        <v>202410</v>
      </c>
      <c r="X76" s="15">
        <f t="shared" si="2"/>
        <v>45596</v>
      </c>
      <c r="Y76" s="4" t="s">
        <v>157</v>
      </c>
      <c r="Z76" s="4" t="s">
        <v>158</v>
      </c>
    </row>
    <row r="77" spans="1:26" x14ac:dyDescent="0.2">
      <c r="A77" s="4" t="s">
        <v>328</v>
      </c>
      <c r="B77" s="8" t="s">
        <v>207</v>
      </c>
      <c r="C77" s="8" t="s">
        <v>208</v>
      </c>
      <c r="D77" s="8" t="s">
        <v>23</v>
      </c>
      <c r="E77" s="4" t="s">
        <v>464</v>
      </c>
      <c r="F77" s="4" t="s">
        <v>25</v>
      </c>
      <c r="G77" s="5">
        <v>24500</v>
      </c>
      <c r="H77" s="5" t="s">
        <v>26</v>
      </c>
      <c r="I77" s="5" t="s">
        <v>209</v>
      </c>
      <c r="J77" s="8" t="s">
        <v>513</v>
      </c>
      <c r="K77" s="8" t="s">
        <v>514</v>
      </c>
      <c r="L77" s="8" t="s">
        <v>210</v>
      </c>
      <c r="M77" s="8" t="s">
        <v>147</v>
      </c>
      <c r="N77" s="8" t="str">
        <f>IF(ISBLANK(Table1[[#This Row],[Dealer_Name]]), "UNKNOWN", Table1[[#This Row],[Dealer_Name]])</f>
        <v>Metro Honda</v>
      </c>
      <c r="O77" s="8" t="s">
        <v>52</v>
      </c>
      <c r="P77" s="8" t="s">
        <v>31</v>
      </c>
      <c r="Q77" s="10" t="s">
        <v>53</v>
      </c>
      <c r="R77" s="13" t="str">
        <f>IF(ISBLANK(Table1[[#This Row],[Engine_Size]]), "UNKNOWN",Table1[[#This Row],[Engine_Size]])</f>
        <v>1.5L</v>
      </c>
      <c r="S77" s="4" t="s">
        <v>61</v>
      </c>
      <c r="T77" s="8" t="str">
        <f>IF(ISBLANK(Table1[[#This Row],[Color]]), "UNKNOWN", Table1[[#This Row],[Color]])</f>
        <v>Blue</v>
      </c>
      <c r="U77" s="13">
        <v>15000</v>
      </c>
      <c r="V77" s="4">
        <v>2021</v>
      </c>
      <c r="W77" s="4">
        <v>202401</v>
      </c>
      <c r="X77" s="15">
        <f t="shared" si="2"/>
        <v>45322</v>
      </c>
      <c r="Y77" s="4" t="s">
        <v>34</v>
      </c>
      <c r="Z77" s="4" t="s">
        <v>35</v>
      </c>
    </row>
    <row r="78" spans="1:26" x14ac:dyDescent="0.2">
      <c r="A78" s="4" t="s">
        <v>329</v>
      </c>
      <c r="B78" s="8" t="s">
        <v>212</v>
      </c>
      <c r="C78" s="8" t="s">
        <v>304</v>
      </c>
      <c r="D78" s="8" t="s">
        <v>262</v>
      </c>
      <c r="E78" s="4" t="s">
        <v>305</v>
      </c>
      <c r="F78" s="4" t="s">
        <v>25</v>
      </c>
      <c r="G78" s="5">
        <v>115900</v>
      </c>
      <c r="H78" s="5" t="s">
        <v>264</v>
      </c>
      <c r="I78" s="5" t="s">
        <v>306</v>
      </c>
      <c r="J78" s="8" t="s">
        <v>537</v>
      </c>
      <c r="K78" s="8" t="s">
        <v>519</v>
      </c>
      <c r="L78" s="8" t="s">
        <v>307</v>
      </c>
      <c r="M78" s="8" t="s">
        <v>183</v>
      </c>
      <c r="N78" s="8" t="str">
        <f>IF(ISBLANK(Table1[[#This Row],[Dealer_Name]]), "UNKNOWN", Table1[[#This Row],[Dealer_Name]])</f>
        <v>Nissan Direct</v>
      </c>
      <c r="O78" s="8" t="s">
        <v>85</v>
      </c>
      <c r="P78" s="8" t="s">
        <v>31</v>
      </c>
      <c r="Q78" s="10" t="s">
        <v>128</v>
      </c>
      <c r="R78" s="13" t="str">
        <f>IF(ISBLANK(Table1[[#This Row],[Engine_Size]]), "UNKNOWN",Table1[[#This Row],[Engine_Size]])</f>
        <v>3.8L</v>
      </c>
      <c r="S78" s="4" t="s">
        <v>46</v>
      </c>
      <c r="T78" s="8" t="str">
        <f>IF(ISBLANK(Table1[[#This Row],[Color]]), "UNKNOWN", Table1[[#This Row],[Color]])</f>
        <v>Black</v>
      </c>
      <c r="U78" s="13">
        <v>2500</v>
      </c>
      <c r="V78" s="4">
        <v>2024</v>
      </c>
      <c r="W78" s="4">
        <v>202412</v>
      </c>
      <c r="X78" s="15">
        <f t="shared" si="2"/>
        <v>45657</v>
      </c>
      <c r="Y78" s="4" t="s">
        <v>197</v>
      </c>
      <c r="Z78" s="4" t="s">
        <v>158</v>
      </c>
    </row>
    <row r="79" spans="1:26" x14ac:dyDescent="0.2">
      <c r="A79" s="4" t="s">
        <v>330</v>
      </c>
      <c r="B79" s="8" t="s">
        <v>273</v>
      </c>
      <c r="C79" s="8" t="s">
        <v>288</v>
      </c>
      <c r="D79" s="8" t="s">
        <v>23</v>
      </c>
      <c r="E79" s="4" t="s">
        <v>73</v>
      </c>
      <c r="F79" s="4" t="s">
        <v>25</v>
      </c>
      <c r="G79" s="5">
        <v>26900</v>
      </c>
      <c r="H79" s="5" t="s">
        <v>41</v>
      </c>
      <c r="I79" s="5" t="s">
        <v>289</v>
      </c>
      <c r="J79" s="8" t="s">
        <v>533</v>
      </c>
      <c r="K79" s="8" t="s">
        <v>33</v>
      </c>
      <c r="L79" s="8" t="s">
        <v>290</v>
      </c>
      <c r="M79" s="8" t="s">
        <v>99</v>
      </c>
      <c r="N79" s="8" t="str">
        <f>IF(ISBLANK(Table1[[#This Row],[Dealer_Name]]), "UNKNOWN", Table1[[#This Row],[Dealer_Name]])</f>
        <v>Chevy World</v>
      </c>
      <c r="O79" s="8" t="s">
        <v>68</v>
      </c>
      <c r="P79" s="8" t="s">
        <v>166</v>
      </c>
      <c r="R79" s="14" t="str">
        <f>IF(ISBLANK(Table1[[#This Row],[Engine_Size]]), "UNKNOWN",Table1[[#This Row],[Engine_Size]])</f>
        <v>UNKNOWN</v>
      </c>
      <c r="S79" s="4" t="s">
        <v>70</v>
      </c>
      <c r="T79" s="8" t="str">
        <f>IF(ISBLANK(Table1[[#This Row],[Color]]), "UNKNOWN", Table1[[#This Row],[Color]])</f>
        <v>Red</v>
      </c>
      <c r="U79" s="13">
        <v>8000</v>
      </c>
      <c r="V79" s="4">
        <v>2023</v>
      </c>
      <c r="W79" s="4">
        <v>202410</v>
      </c>
      <c r="X79" s="15">
        <f t="shared" si="2"/>
        <v>45596</v>
      </c>
      <c r="Y79" s="4" t="s">
        <v>157</v>
      </c>
      <c r="Z79" s="4" t="s">
        <v>158</v>
      </c>
    </row>
    <row r="80" spans="1:26" x14ac:dyDescent="0.2">
      <c r="A80" s="4" t="s">
        <v>331</v>
      </c>
      <c r="B80" s="8" t="s">
        <v>244</v>
      </c>
      <c r="C80" s="8" t="s">
        <v>300</v>
      </c>
      <c r="D80" s="8" t="s">
        <v>23</v>
      </c>
      <c r="E80" s="4" t="s">
        <v>73</v>
      </c>
      <c r="F80" s="4" t="s">
        <v>485</v>
      </c>
      <c r="G80" s="5">
        <v>69900</v>
      </c>
      <c r="H80" s="5" t="s">
        <v>229</v>
      </c>
      <c r="I80" s="5" t="s">
        <v>301</v>
      </c>
      <c r="J80" s="8" t="s">
        <v>536</v>
      </c>
      <c r="K80" s="8" t="s">
        <v>479</v>
      </c>
      <c r="L80" s="8" t="s">
        <v>302</v>
      </c>
      <c r="M80" s="8" t="s">
        <v>248</v>
      </c>
      <c r="N80" s="8" t="str">
        <f>IF(ISBLANK(Table1[[#This Row],[Dealer_Name]]), "UNKNOWN", Table1[[#This Row],[Dealer_Name]])</f>
        <v>BMW Elite</v>
      </c>
      <c r="O80" s="8" t="s">
        <v>52</v>
      </c>
      <c r="P80" s="8" t="s">
        <v>31</v>
      </c>
      <c r="Q80" s="10" t="s">
        <v>190</v>
      </c>
      <c r="R80" s="13" t="str">
        <f>IF(ISBLANK(Table1[[#This Row],[Engine_Size]]), "UNKNOWN",Table1[[#This Row],[Engine_Size]])</f>
        <v>3.0L</v>
      </c>
      <c r="S80" s="4" t="s">
        <v>33</v>
      </c>
      <c r="T80" s="8" t="str">
        <f>IF(ISBLANK(Table1[[#This Row],[Color]]), "UNKNOWN", Table1[[#This Row],[Color]])</f>
        <v>White</v>
      </c>
      <c r="U80" s="13">
        <v>6000</v>
      </c>
      <c r="V80" s="4">
        <v>2023</v>
      </c>
      <c r="W80" s="4">
        <v>202412</v>
      </c>
      <c r="X80" s="15">
        <f t="shared" si="2"/>
        <v>45657</v>
      </c>
      <c r="Y80" s="4" t="s">
        <v>197</v>
      </c>
      <c r="Z80" s="4" t="s">
        <v>158</v>
      </c>
    </row>
    <row r="81" spans="1:26" x14ac:dyDescent="0.2">
      <c r="A81" s="4" t="s">
        <v>332</v>
      </c>
      <c r="B81" s="8" t="s">
        <v>244</v>
      </c>
      <c r="C81" s="8" t="s">
        <v>261</v>
      </c>
      <c r="D81" s="8" t="s">
        <v>262</v>
      </c>
      <c r="E81" s="4" t="s">
        <v>263</v>
      </c>
      <c r="F81" s="4" t="s">
        <v>485</v>
      </c>
      <c r="G81" s="5">
        <v>99900</v>
      </c>
      <c r="H81" s="5" t="s">
        <v>264</v>
      </c>
      <c r="I81" s="5" t="s">
        <v>265</v>
      </c>
      <c r="J81" s="8" t="s">
        <v>528</v>
      </c>
      <c r="K81" s="8" t="s">
        <v>477</v>
      </c>
      <c r="L81" s="8" t="s">
        <v>266</v>
      </c>
      <c r="M81" s="8" t="s">
        <v>248</v>
      </c>
      <c r="N81" s="8" t="str">
        <f>IF(ISBLANK(Table1[[#This Row],[Dealer_Name]]), "UNKNOWN", Table1[[#This Row],[Dealer_Name]])</f>
        <v>BMW Elite</v>
      </c>
      <c r="O81" s="8" t="s">
        <v>52</v>
      </c>
      <c r="P81" s="8" t="s">
        <v>31</v>
      </c>
      <c r="Q81" s="10" t="s">
        <v>190</v>
      </c>
      <c r="R81" s="13" t="str">
        <f>IF(ISBLANK(Table1[[#This Row],[Engine_Size]]), "UNKNOWN",Table1[[#This Row],[Engine_Size]])</f>
        <v>3.0L</v>
      </c>
      <c r="S81" s="4" t="s">
        <v>61</v>
      </c>
      <c r="T81" s="8" t="str">
        <f>IF(ISBLANK(Table1[[#This Row],[Color]]), "UNKNOWN", Table1[[#This Row],[Color]])</f>
        <v>Blue</v>
      </c>
      <c r="U81" s="13">
        <v>18000</v>
      </c>
      <c r="V81" s="4">
        <v>2022</v>
      </c>
      <c r="W81" s="4">
        <v>202407</v>
      </c>
      <c r="X81" s="15">
        <f t="shared" si="2"/>
        <v>45504</v>
      </c>
      <c r="Y81" s="4" t="s">
        <v>78</v>
      </c>
      <c r="Z81" s="4" t="s">
        <v>79</v>
      </c>
    </row>
    <row r="82" spans="1:26" x14ac:dyDescent="0.2">
      <c r="A82" s="4" t="s">
        <v>333</v>
      </c>
      <c r="B82" s="8" t="s">
        <v>255</v>
      </c>
      <c r="C82" s="8" t="s">
        <v>256</v>
      </c>
      <c r="D82" s="8" t="s">
        <v>90</v>
      </c>
      <c r="E82" s="4" t="s">
        <v>91</v>
      </c>
      <c r="F82" s="4" t="s">
        <v>25</v>
      </c>
      <c r="G82" s="5">
        <v>38900</v>
      </c>
      <c r="H82" s="5" t="s">
        <v>41</v>
      </c>
      <c r="I82" s="5" t="s">
        <v>257</v>
      </c>
      <c r="J82" s="8" t="s">
        <v>527</v>
      </c>
      <c r="K82" s="8" t="s">
        <v>33</v>
      </c>
      <c r="L82" s="8" t="s">
        <v>258</v>
      </c>
      <c r="M82" s="8" t="s">
        <v>67</v>
      </c>
      <c r="N82" s="8" t="str">
        <f>IF(ISBLANK(Table1[[#This Row],[Dealer_Name]]), "UNKNOWN", Table1[[#This Row],[Dealer_Name]])</f>
        <v>Ford Country</v>
      </c>
      <c r="O82" s="8" t="s">
        <v>68</v>
      </c>
      <c r="P82" s="8" t="s">
        <v>31</v>
      </c>
      <c r="Q82" s="10" t="s">
        <v>259</v>
      </c>
      <c r="R82" s="13" t="str">
        <f>IF(ISBLANK(Table1[[#This Row],[Engine_Size]]), "UNKNOWN",Table1[[#This Row],[Engine_Size]])</f>
        <v>2.3L</v>
      </c>
      <c r="S82" s="4" t="s">
        <v>143</v>
      </c>
      <c r="T82" s="8" t="str">
        <f>IF(ISBLANK(Table1[[#This Row],[Color]]), "UNKNOWN", Table1[[#This Row],[Color]])</f>
        <v>Green</v>
      </c>
      <c r="U82" s="13">
        <v>9000</v>
      </c>
      <c r="V82" s="4">
        <v>2023</v>
      </c>
      <c r="W82" s="4">
        <v>202407</v>
      </c>
      <c r="X82" s="15">
        <f t="shared" si="2"/>
        <v>45504</v>
      </c>
      <c r="Y82" s="4" t="s">
        <v>78</v>
      </c>
      <c r="Z82" s="4" t="s">
        <v>79</v>
      </c>
    </row>
    <row r="83" spans="1:26" x14ac:dyDescent="0.2">
      <c r="A83" s="4" t="s">
        <v>334</v>
      </c>
      <c r="B83" s="8" t="s">
        <v>212</v>
      </c>
      <c r="C83" s="8" t="s">
        <v>250</v>
      </c>
      <c r="D83" s="8" t="s">
        <v>90</v>
      </c>
      <c r="E83" s="4" t="s">
        <v>91</v>
      </c>
      <c r="F83" s="4" t="s">
        <v>25</v>
      </c>
      <c r="G83" s="5">
        <v>51200</v>
      </c>
      <c r="H83" s="5" t="s">
        <v>92</v>
      </c>
      <c r="I83" s="5" t="s">
        <v>251</v>
      </c>
      <c r="J83" s="8" t="s">
        <v>526</v>
      </c>
      <c r="K83" s="8" t="s">
        <v>496</v>
      </c>
      <c r="L83" s="8" t="s">
        <v>252</v>
      </c>
      <c r="M83" s="8" t="s">
        <v>183</v>
      </c>
      <c r="N83" s="8" t="str">
        <f>IF(ISBLANK(Table1[[#This Row],[Dealer_Name]]), "UNKNOWN", Table1[[#This Row],[Dealer_Name]])</f>
        <v>Nissan Direct</v>
      </c>
      <c r="O83" s="8" t="s">
        <v>85</v>
      </c>
      <c r="P83" s="8" t="s">
        <v>31</v>
      </c>
      <c r="Q83" s="10" t="s">
        <v>253</v>
      </c>
      <c r="R83" s="13" t="str">
        <f>IF(ISBLANK(Table1[[#This Row],[Engine_Size]]), "UNKNOWN",Table1[[#This Row],[Engine_Size]])</f>
        <v>5.6L</v>
      </c>
      <c r="S83" s="4" t="s">
        <v>61</v>
      </c>
      <c r="T83" s="8" t="str">
        <f>IF(ISBLANK(Table1[[#This Row],[Color]]), "UNKNOWN", Table1[[#This Row],[Color]])</f>
        <v>Blue</v>
      </c>
      <c r="U83" s="13">
        <v>30000</v>
      </c>
      <c r="V83" s="4">
        <v>2020</v>
      </c>
      <c r="W83" s="4">
        <v>202407</v>
      </c>
      <c r="X83" s="15">
        <f t="shared" si="2"/>
        <v>45504</v>
      </c>
      <c r="Y83" s="4" t="s">
        <v>78</v>
      </c>
      <c r="Z83" s="4" t="s">
        <v>79</v>
      </c>
    </row>
    <row r="84" spans="1:26" x14ac:dyDescent="0.2">
      <c r="A84" s="4" t="s">
        <v>335</v>
      </c>
      <c r="B84" s="8" t="s">
        <v>212</v>
      </c>
      <c r="C84" s="8" t="s">
        <v>250</v>
      </c>
      <c r="D84" s="8" t="s">
        <v>90</v>
      </c>
      <c r="E84" s="4" t="s">
        <v>91</v>
      </c>
      <c r="F84" s="4" t="s">
        <v>25</v>
      </c>
      <c r="G84" s="5">
        <v>51200</v>
      </c>
      <c r="H84" s="5" t="s">
        <v>92</v>
      </c>
      <c r="I84" s="5" t="s">
        <v>251</v>
      </c>
      <c r="J84" s="8" t="s">
        <v>526</v>
      </c>
      <c r="K84" s="8" t="s">
        <v>496</v>
      </c>
      <c r="L84" s="8" t="s">
        <v>252</v>
      </c>
      <c r="M84" s="8" t="s">
        <v>183</v>
      </c>
      <c r="N84" s="8" t="str">
        <f>IF(ISBLANK(Table1[[#This Row],[Dealer_Name]]), "UNKNOWN", Table1[[#This Row],[Dealer_Name]])</f>
        <v>Nissan Direct</v>
      </c>
      <c r="O84" s="8" t="s">
        <v>85</v>
      </c>
      <c r="P84" s="8" t="s">
        <v>31</v>
      </c>
      <c r="Q84" s="10" t="s">
        <v>253</v>
      </c>
      <c r="R84" s="13" t="str">
        <f>IF(ISBLANK(Table1[[#This Row],[Engine_Size]]), "UNKNOWN",Table1[[#This Row],[Engine_Size]])</f>
        <v>5.6L</v>
      </c>
      <c r="S84" s="4" t="s">
        <v>61</v>
      </c>
      <c r="T84" s="8" t="str">
        <f>IF(ISBLANK(Table1[[#This Row],[Color]]), "UNKNOWN", Table1[[#This Row],[Color]])</f>
        <v>Blue</v>
      </c>
      <c r="U84" s="13">
        <v>30000</v>
      </c>
      <c r="V84" s="4">
        <v>2020</v>
      </c>
      <c r="W84" s="4">
        <v>202407</v>
      </c>
      <c r="X84" s="15">
        <f t="shared" si="2"/>
        <v>45504</v>
      </c>
      <c r="Y84" s="4" t="s">
        <v>78</v>
      </c>
      <c r="Z84" s="4" t="s">
        <v>79</v>
      </c>
    </row>
    <row r="85" spans="1:26" x14ac:dyDescent="0.2">
      <c r="A85" s="4" t="s">
        <v>336</v>
      </c>
      <c r="B85" s="8" t="s">
        <v>273</v>
      </c>
      <c r="C85" s="8" t="s">
        <v>274</v>
      </c>
      <c r="D85" s="8" t="s">
        <v>90</v>
      </c>
      <c r="E85" s="4" t="s">
        <v>91</v>
      </c>
      <c r="F85" s="4" t="s">
        <v>25</v>
      </c>
      <c r="G85" s="5">
        <v>35200</v>
      </c>
      <c r="H85" s="5" t="s">
        <v>41</v>
      </c>
      <c r="I85" s="5" t="s">
        <v>275</v>
      </c>
      <c r="J85" s="8" t="s">
        <v>530</v>
      </c>
      <c r="K85" s="8" t="s">
        <v>33</v>
      </c>
      <c r="L85" s="8" t="s">
        <v>276</v>
      </c>
      <c r="M85" s="8" t="s">
        <v>99</v>
      </c>
      <c r="N85" s="8" t="str">
        <f>IF(ISBLANK(Table1[[#This Row],[Dealer_Name]]), "UNKNOWN", Table1[[#This Row],[Dealer_Name]])</f>
        <v>Chevy World</v>
      </c>
      <c r="O85" s="8" t="s">
        <v>68</v>
      </c>
      <c r="P85" s="8" t="s">
        <v>31</v>
      </c>
      <c r="Q85" s="10" t="s">
        <v>60</v>
      </c>
      <c r="R85" s="13" t="str">
        <f>IF(ISBLANK(Table1[[#This Row],[Engine_Size]]), "UNKNOWN",Table1[[#This Row],[Engine_Size]])</f>
        <v>2.5L</v>
      </c>
      <c r="S85" s="4" t="s">
        <v>46</v>
      </c>
      <c r="T85" s="8" t="str">
        <f>IF(ISBLANK(Table1[[#This Row],[Color]]), "UNKNOWN", Table1[[#This Row],[Color]])</f>
        <v>Black</v>
      </c>
      <c r="U85" s="13">
        <v>25000</v>
      </c>
      <c r="V85" s="4">
        <v>2020</v>
      </c>
      <c r="W85" s="4">
        <v>202409</v>
      </c>
      <c r="X85" s="15">
        <f t="shared" si="2"/>
        <v>45565</v>
      </c>
      <c r="Y85" s="4" t="s">
        <v>134</v>
      </c>
      <c r="Z85" s="4" t="s">
        <v>79</v>
      </c>
    </row>
    <row r="86" spans="1:26" x14ac:dyDescent="0.2">
      <c r="A86" s="4" t="s">
        <v>337</v>
      </c>
      <c r="B86" s="8" t="s">
        <v>217</v>
      </c>
      <c r="C86" s="8" t="s">
        <v>292</v>
      </c>
      <c r="D86" s="8" t="s">
        <v>23</v>
      </c>
      <c r="E86" s="4" t="s">
        <v>73</v>
      </c>
      <c r="F86" s="4" t="s">
        <v>25</v>
      </c>
      <c r="G86" s="5">
        <v>34500</v>
      </c>
      <c r="H86" s="5" t="s">
        <v>41</v>
      </c>
      <c r="I86" s="5" t="s">
        <v>293</v>
      </c>
      <c r="J86" s="8" t="s">
        <v>534</v>
      </c>
      <c r="K86" s="8" t="s">
        <v>475</v>
      </c>
      <c r="L86" s="8" t="s">
        <v>294</v>
      </c>
      <c r="M86" s="8" t="s">
        <v>138</v>
      </c>
      <c r="N86" s="8" t="str">
        <f>IF(ISBLANK(Table1[[#This Row],[Dealer_Name]]), "UNKNOWN", Table1[[#This Row],[Dealer_Name]])</f>
        <v>hyundai plus</v>
      </c>
      <c r="O86" s="8" t="s">
        <v>30</v>
      </c>
      <c r="P86" s="8" t="s">
        <v>31</v>
      </c>
      <c r="Q86" s="10" t="s">
        <v>156</v>
      </c>
      <c r="R86" s="13" t="str">
        <f>IF(ISBLANK(Table1[[#This Row],[Engine_Size]]), "UNKNOWN",Table1[[#This Row],[Engine_Size]])</f>
        <v>2.0L</v>
      </c>
      <c r="S86" s="4" t="s">
        <v>70</v>
      </c>
      <c r="T86" s="8" t="str">
        <f>IF(ISBLANK(Table1[[#This Row],[Color]]), "UNKNOWN", Table1[[#This Row],[Color]])</f>
        <v>Red</v>
      </c>
      <c r="U86" s="13">
        <v>5000</v>
      </c>
      <c r="V86" s="4">
        <v>2024</v>
      </c>
      <c r="W86" s="4">
        <v>202411</v>
      </c>
      <c r="X86" s="15">
        <f t="shared" si="2"/>
        <v>45626</v>
      </c>
      <c r="Y86" s="4" t="s">
        <v>179</v>
      </c>
      <c r="Z86" s="4" t="s">
        <v>158</v>
      </c>
    </row>
    <row r="87" spans="1:26" x14ac:dyDescent="0.2">
      <c r="A87" s="4" t="s">
        <v>338</v>
      </c>
      <c r="B87" s="8" t="s">
        <v>255</v>
      </c>
      <c r="C87" s="8" t="s">
        <v>278</v>
      </c>
      <c r="D87" s="8" t="s">
        <v>90</v>
      </c>
      <c r="E87" s="4" t="s">
        <v>91</v>
      </c>
      <c r="F87" s="4" t="s">
        <v>25</v>
      </c>
      <c r="G87" s="5">
        <v>22900</v>
      </c>
      <c r="H87" s="5" t="s">
        <v>26</v>
      </c>
      <c r="I87" s="5" t="s">
        <v>279</v>
      </c>
      <c r="J87" s="8" t="s">
        <v>531</v>
      </c>
      <c r="K87" s="8" t="s">
        <v>493</v>
      </c>
      <c r="L87" s="8" t="s">
        <v>280</v>
      </c>
      <c r="M87" s="8" t="s">
        <v>67</v>
      </c>
      <c r="N87" s="8" t="str">
        <f>IF(ISBLANK(Table1[[#This Row],[Dealer_Name]]), "UNKNOWN", Table1[[#This Row],[Dealer_Name]])</f>
        <v>Ford Country</v>
      </c>
      <c r="O87" s="8" t="s">
        <v>68</v>
      </c>
      <c r="P87" s="8" t="s">
        <v>31</v>
      </c>
      <c r="Q87" s="10" t="s">
        <v>281</v>
      </c>
      <c r="R87" s="13" t="str">
        <f>IF(ISBLANK(Table1[[#This Row],[Engine_Size]]), "UNKNOWN",Table1[[#This Row],[Engine_Size]])</f>
        <v>1.0L</v>
      </c>
      <c r="S87" s="4" t="s">
        <v>33</v>
      </c>
      <c r="T87" s="8" t="str">
        <f>IF(ISBLANK(Table1[[#This Row],[Color]]), "UNKNOWN", Table1[[#This Row],[Color]])</f>
        <v>White</v>
      </c>
      <c r="U87" s="13">
        <v>19000</v>
      </c>
      <c r="V87" s="4">
        <v>2021</v>
      </c>
      <c r="W87" s="4">
        <v>202409</v>
      </c>
      <c r="X87" s="15">
        <f t="shared" si="2"/>
        <v>45565</v>
      </c>
      <c r="Y87" s="4" t="s">
        <v>134</v>
      </c>
      <c r="Z87" s="4" t="s">
        <v>79</v>
      </c>
    </row>
    <row r="88" spans="1:26" x14ac:dyDescent="0.2">
      <c r="A88" s="4" t="s">
        <v>339</v>
      </c>
      <c r="B88" s="8" t="s">
        <v>244</v>
      </c>
      <c r="C88" s="8" t="s">
        <v>300</v>
      </c>
      <c r="D88" s="8" t="s">
        <v>23</v>
      </c>
      <c r="E88" s="4" t="s">
        <v>73</v>
      </c>
      <c r="F88" s="4" t="s">
        <v>485</v>
      </c>
      <c r="G88" s="5">
        <v>69900</v>
      </c>
      <c r="H88" s="5" t="s">
        <v>229</v>
      </c>
      <c r="I88" s="5" t="s">
        <v>301</v>
      </c>
      <c r="J88" s="8" t="s">
        <v>536</v>
      </c>
      <c r="K88" s="8" t="s">
        <v>479</v>
      </c>
      <c r="L88" s="8" t="s">
        <v>302</v>
      </c>
      <c r="M88" s="8" t="s">
        <v>248</v>
      </c>
      <c r="N88" s="8" t="str">
        <f>IF(ISBLANK(Table1[[#This Row],[Dealer_Name]]), "UNKNOWN", Table1[[#This Row],[Dealer_Name]])</f>
        <v>BMW Elite</v>
      </c>
      <c r="O88" s="8" t="s">
        <v>52</v>
      </c>
      <c r="P88" s="8" t="s">
        <v>31</v>
      </c>
      <c r="Q88" s="10" t="s">
        <v>190</v>
      </c>
      <c r="R88" s="13" t="str">
        <f>IF(ISBLANK(Table1[[#This Row],[Engine_Size]]), "UNKNOWN",Table1[[#This Row],[Engine_Size]])</f>
        <v>3.0L</v>
      </c>
      <c r="S88" s="4" t="s">
        <v>33</v>
      </c>
      <c r="T88" s="8" t="str">
        <f>IF(ISBLANK(Table1[[#This Row],[Color]]), "UNKNOWN", Table1[[#This Row],[Color]])</f>
        <v>White</v>
      </c>
      <c r="U88" s="13">
        <v>6000</v>
      </c>
      <c r="V88" s="4">
        <v>2023</v>
      </c>
      <c r="W88" s="4">
        <v>202412</v>
      </c>
      <c r="X88" s="15">
        <f t="shared" si="2"/>
        <v>45657</v>
      </c>
      <c r="Y88" s="4" t="s">
        <v>197</v>
      </c>
      <c r="Z88" s="4" t="s">
        <v>158</v>
      </c>
    </row>
    <row r="89" spans="1:26" x14ac:dyDescent="0.2">
      <c r="A89" s="4" t="s">
        <v>340</v>
      </c>
      <c r="B89" s="8" t="s">
        <v>217</v>
      </c>
      <c r="C89" s="8" t="s">
        <v>218</v>
      </c>
      <c r="D89" s="8" t="s">
        <v>23</v>
      </c>
      <c r="E89" s="4" t="s">
        <v>464</v>
      </c>
      <c r="F89" s="4" t="s">
        <v>25</v>
      </c>
      <c r="G89" s="5">
        <v>22900</v>
      </c>
      <c r="H89" s="5" t="s">
        <v>26</v>
      </c>
      <c r="I89" s="5" t="s">
        <v>219</v>
      </c>
      <c r="J89" s="8" t="s">
        <v>517</v>
      </c>
      <c r="K89" s="8" t="s">
        <v>518</v>
      </c>
      <c r="L89" s="8" t="s">
        <v>220</v>
      </c>
      <c r="M89" s="8" t="s">
        <v>44</v>
      </c>
      <c r="N89" s="8" t="str">
        <f>IF(ISBLANK(Table1[[#This Row],[Dealer_Name]]), "UNKNOWN", Table1[[#This Row],[Dealer_Name]])</f>
        <v>Hyundai Plus</v>
      </c>
      <c r="O89" s="8" t="s">
        <v>30</v>
      </c>
      <c r="P89" s="8" t="s">
        <v>31</v>
      </c>
      <c r="Q89" s="10" t="s">
        <v>156</v>
      </c>
      <c r="R89" s="13" t="str">
        <f>IF(ISBLANK(Table1[[#This Row],[Engine_Size]]), "UNKNOWN",Table1[[#This Row],[Engine_Size]])</f>
        <v>2.0L</v>
      </c>
      <c r="S89" s="4" t="s">
        <v>70</v>
      </c>
      <c r="T89" s="8" t="str">
        <f>IF(ISBLANK(Table1[[#This Row],[Color]]), "UNKNOWN", Table1[[#This Row],[Color]])</f>
        <v>Red</v>
      </c>
      <c r="U89" s="13">
        <v>12000</v>
      </c>
      <c r="V89" s="4">
        <v>2022</v>
      </c>
      <c r="W89" s="4">
        <v>202402</v>
      </c>
      <c r="X89" s="15">
        <f t="shared" si="2"/>
        <v>45351</v>
      </c>
      <c r="Y89" s="4" t="s">
        <v>47</v>
      </c>
      <c r="Z89" s="4" t="s">
        <v>35</v>
      </c>
    </row>
    <row r="90" spans="1:26" x14ac:dyDescent="0.2">
      <c r="A90" s="4" t="s">
        <v>341</v>
      </c>
      <c r="B90" s="8" t="s">
        <v>227</v>
      </c>
      <c r="C90" s="8" t="s">
        <v>228</v>
      </c>
      <c r="D90" s="8" t="s">
        <v>23</v>
      </c>
      <c r="E90" s="4" t="s">
        <v>73</v>
      </c>
      <c r="F90" s="4" t="s">
        <v>485</v>
      </c>
      <c r="G90" s="5">
        <v>89500</v>
      </c>
      <c r="H90" s="5" t="s">
        <v>229</v>
      </c>
      <c r="I90" s="5" t="s">
        <v>230</v>
      </c>
      <c r="J90" s="8" t="s">
        <v>520</v>
      </c>
      <c r="K90" s="8" t="s">
        <v>521</v>
      </c>
      <c r="L90" s="8" t="s">
        <v>231</v>
      </c>
      <c r="M90" s="8" t="s">
        <v>165</v>
      </c>
      <c r="N90" s="8" t="str">
        <f>IF(ISBLANK(Table1[[#This Row],[Dealer_Name]]), "UNKNOWN", Table1[[#This Row],[Dealer_Name]])</f>
        <v>Tesla Direct</v>
      </c>
      <c r="O90" s="8" t="s">
        <v>30</v>
      </c>
      <c r="P90" s="8" t="s">
        <v>166</v>
      </c>
      <c r="R90" s="14" t="str">
        <f>IF(ISBLANK(Table1[[#This Row],[Engine_Size]]), "UNKNOWN",Table1[[#This Row],[Engine_Size]])</f>
        <v>UNKNOWN</v>
      </c>
      <c r="S90" s="4" t="s">
        <v>70</v>
      </c>
      <c r="T90" s="8" t="str">
        <f>IF(ISBLANK(Table1[[#This Row],[Color]]), "UNKNOWN", Table1[[#This Row],[Color]])</f>
        <v>Red</v>
      </c>
      <c r="U90" s="13">
        <v>8000</v>
      </c>
      <c r="V90" s="4">
        <v>2023</v>
      </c>
      <c r="W90" s="4">
        <v>202403</v>
      </c>
      <c r="X90" s="15">
        <f t="shared" si="2"/>
        <v>45382</v>
      </c>
      <c r="Y90" s="4" t="s">
        <v>55</v>
      </c>
      <c r="Z90" s="4" t="s">
        <v>35</v>
      </c>
    </row>
    <row r="91" spans="1:26" x14ac:dyDescent="0.2">
      <c r="A91" s="4" t="s">
        <v>342</v>
      </c>
      <c r="B91" s="8" t="s">
        <v>273</v>
      </c>
      <c r="C91" s="8" t="s">
        <v>274</v>
      </c>
      <c r="D91" s="8" t="s">
        <v>90</v>
      </c>
      <c r="E91" s="4" t="s">
        <v>91</v>
      </c>
      <c r="F91" s="4" t="s">
        <v>25</v>
      </c>
      <c r="G91" s="5">
        <v>35200</v>
      </c>
      <c r="H91" s="5" t="s">
        <v>41</v>
      </c>
      <c r="I91" s="5" t="s">
        <v>275</v>
      </c>
      <c r="J91" s="8" t="s">
        <v>530</v>
      </c>
      <c r="K91" s="8" t="s">
        <v>33</v>
      </c>
      <c r="L91" s="8" t="s">
        <v>276</v>
      </c>
      <c r="M91" s="8" t="s">
        <v>99</v>
      </c>
      <c r="N91" s="8" t="str">
        <f>IF(ISBLANK(Table1[[#This Row],[Dealer_Name]]), "UNKNOWN", Table1[[#This Row],[Dealer_Name]])</f>
        <v>Chevy World</v>
      </c>
      <c r="O91" s="8" t="s">
        <v>68</v>
      </c>
      <c r="P91" s="8" t="s">
        <v>31</v>
      </c>
      <c r="Q91" s="10" t="s">
        <v>60</v>
      </c>
      <c r="R91" s="13" t="str">
        <f>IF(ISBLANK(Table1[[#This Row],[Engine_Size]]), "UNKNOWN",Table1[[#This Row],[Engine_Size]])</f>
        <v>2.5L</v>
      </c>
      <c r="S91" s="4" t="s">
        <v>46</v>
      </c>
      <c r="T91" s="8" t="str">
        <f>IF(ISBLANK(Table1[[#This Row],[Color]]), "UNKNOWN", Table1[[#This Row],[Color]])</f>
        <v>Black</v>
      </c>
      <c r="U91" s="13">
        <v>25000</v>
      </c>
      <c r="V91" s="4">
        <v>2020</v>
      </c>
      <c r="W91" s="4">
        <v>202409</v>
      </c>
      <c r="X91" s="15">
        <f t="shared" si="2"/>
        <v>45565</v>
      </c>
      <c r="Y91" s="4" t="s">
        <v>134</v>
      </c>
      <c r="Z91" s="4" t="s">
        <v>79</v>
      </c>
    </row>
    <row r="92" spans="1:26" x14ac:dyDescent="0.2">
      <c r="A92" s="4" t="s">
        <v>343</v>
      </c>
      <c r="B92" s="8" t="s">
        <v>222</v>
      </c>
      <c r="C92" s="8" t="s">
        <v>223</v>
      </c>
      <c r="D92" s="8" t="s">
        <v>90</v>
      </c>
      <c r="E92" s="4" t="s">
        <v>91</v>
      </c>
      <c r="F92" s="4" t="s">
        <v>25</v>
      </c>
      <c r="G92" s="5">
        <v>41200</v>
      </c>
      <c r="H92" s="5" t="s">
        <v>92</v>
      </c>
      <c r="I92" s="5" t="s">
        <v>236</v>
      </c>
      <c r="J92" s="8" t="s">
        <v>523</v>
      </c>
      <c r="K92" s="8" t="s">
        <v>33</v>
      </c>
      <c r="L92" s="8" t="s">
        <v>237</v>
      </c>
      <c r="M92" s="8" t="s">
        <v>84</v>
      </c>
      <c r="N92" s="8" t="str">
        <f>IF(ISBLANK(Table1[[#This Row],[Dealer_Name]]), "UNKNOWN", Table1[[#This Row],[Dealer_Name]])</f>
        <v>jeep nation</v>
      </c>
      <c r="O92" s="8" t="s">
        <v>85</v>
      </c>
      <c r="P92" s="8" t="s">
        <v>31</v>
      </c>
      <c r="Q92" s="10" t="s">
        <v>86</v>
      </c>
      <c r="R92" s="13" t="str">
        <f>IF(ISBLANK(Table1[[#This Row],[Engine_Size]]), "UNKNOWN",Table1[[#This Row],[Engine_Size]])</f>
        <v>3.6L</v>
      </c>
      <c r="S92" s="4" t="s">
        <v>46</v>
      </c>
      <c r="T92" s="8" t="str">
        <f>IF(ISBLANK(Table1[[#This Row],[Color]]), "UNKNOWN", Table1[[#This Row],[Color]])</f>
        <v>Black</v>
      </c>
      <c r="U92" s="13">
        <v>29000</v>
      </c>
      <c r="V92" s="4">
        <v>2020</v>
      </c>
      <c r="W92" s="4">
        <v>202403</v>
      </c>
      <c r="X92" s="15">
        <f t="shared" si="2"/>
        <v>45382</v>
      </c>
      <c r="Y92" s="4" t="s">
        <v>55</v>
      </c>
      <c r="Z92" s="4" t="s">
        <v>35</v>
      </c>
    </row>
    <row r="93" spans="1:26" x14ac:dyDescent="0.2">
      <c r="A93" s="4" t="s">
        <v>344</v>
      </c>
      <c r="B93" s="8" t="s">
        <v>222</v>
      </c>
      <c r="C93" s="8" t="s">
        <v>283</v>
      </c>
      <c r="D93" s="8" t="s">
        <v>90</v>
      </c>
      <c r="E93" s="4" t="s">
        <v>91</v>
      </c>
      <c r="F93" s="4" t="s">
        <v>25</v>
      </c>
      <c r="G93" s="5">
        <v>27900</v>
      </c>
      <c r="H93" s="5" t="s">
        <v>41</v>
      </c>
      <c r="I93" s="5" t="s">
        <v>284</v>
      </c>
      <c r="J93" s="8" t="s">
        <v>532</v>
      </c>
      <c r="K93" s="8" t="s">
        <v>477</v>
      </c>
      <c r="L93" s="8" t="s">
        <v>285</v>
      </c>
      <c r="M93" s="8" t="s">
        <v>142</v>
      </c>
      <c r="N93" s="8" t="str">
        <f>IF(ISBLANK(Table1[[#This Row],[Dealer_Name]]), "UNKNOWN", Table1[[#This Row],[Dealer_Name]])</f>
        <v>Jeep Nation</v>
      </c>
      <c r="O93" s="8" t="s">
        <v>85</v>
      </c>
      <c r="P93" s="8" t="s">
        <v>31</v>
      </c>
      <c r="Q93" s="10" t="s">
        <v>286</v>
      </c>
      <c r="R93" s="13" t="str">
        <f>IF(ISBLANK(Table1[[#This Row],[Engine_Size]]), "UNKNOWN",Table1[[#This Row],[Engine_Size]])</f>
        <v>1.3L</v>
      </c>
      <c r="S93" s="4" t="s">
        <v>54</v>
      </c>
      <c r="T93" s="8" t="str">
        <f>IF(ISBLANK(Table1[[#This Row],[Color]]), "UNKNOWN", Table1[[#This Row],[Color]])</f>
        <v>Silver</v>
      </c>
      <c r="U93" s="13">
        <v>13000</v>
      </c>
      <c r="V93" s="4">
        <v>2023</v>
      </c>
      <c r="W93" s="4">
        <v>202410</v>
      </c>
      <c r="X93" s="15">
        <f t="shared" si="2"/>
        <v>45596</v>
      </c>
      <c r="Y93" s="4" t="s">
        <v>157</v>
      </c>
      <c r="Z93" s="4" t="s">
        <v>158</v>
      </c>
    </row>
    <row r="94" spans="1:26" x14ac:dyDescent="0.2">
      <c r="A94" s="4" t="s">
        <v>345</v>
      </c>
      <c r="B94" s="8" t="s">
        <v>222</v>
      </c>
      <c r="C94" s="8" t="s">
        <v>223</v>
      </c>
      <c r="D94" s="8" t="s">
        <v>90</v>
      </c>
      <c r="E94" s="4" t="s">
        <v>91</v>
      </c>
      <c r="F94" s="4" t="s">
        <v>25</v>
      </c>
      <c r="G94" s="5">
        <v>41200</v>
      </c>
      <c r="H94" s="5" t="s">
        <v>92</v>
      </c>
      <c r="I94" s="5" t="s">
        <v>236</v>
      </c>
      <c r="J94" s="8" t="s">
        <v>523</v>
      </c>
      <c r="K94" s="8" t="s">
        <v>33</v>
      </c>
      <c r="L94" s="8" t="s">
        <v>237</v>
      </c>
      <c r="M94" s="8" t="s">
        <v>84</v>
      </c>
      <c r="N94" s="8" t="str">
        <f>IF(ISBLANK(Table1[[#This Row],[Dealer_Name]]), "UNKNOWN", Table1[[#This Row],[Dealer_Name]])</f>
        <v>jeep nation</v>
      </c>
      <c r="O94" s="8" t="s">
        <v>85</v>
      </c>
      <c r="P94" s="8" t="s">
        <v>31</v>
      </c>
      <c r="Q94" s="10" t="s">
        <v>86</v>
      </c>
      <c r="R94" s="13" t="str">
        <f>IF(ISBLANK(Table1[[#This Row],[Engine_Size]]), "UNKNOWN",Table1[[#This Row],[Engine_Size]])</f>
        <v>3.6L</v>
      </c>
      <c r="S94" s="4" t="s">
        <v>46</v>
      </c>
      <c r="T94" s="8" t="str">
        <f>IF(ISBLANK(Table1[[#This Row],[Color]]), "UNKNOWN", Table1[[#This Row],[Color]])</f>
        <v>Black</v>
      </c>
      <c r="U94" s="13">
        <v>29000</v>
      </c>
      <c r="V94" s="4">
        <v>2020</v>
      </c>
      <c r="W94" s="4">
        <v>202403</v>
      </c>
      <c r="X94" s="15">
        <f t="shared" si="2"/>
        <v>45382</v>
      </c>
      <c r="Y94" s="4" t="s">
        <v>55</v>
      </c>
      <c r="Z94" s="4" t="s">
        <v>35</v>
      </c>
    </row>
    <row r="95" spans="1:26" x14ac:dyDescent="0.2">
      <c r="A95" s="4" t="s">
        <v>346</v>
      </c>
      <c r="B95" s="8" t="s">
        <v>222</v>
      </c>
      <c r="C95" s="8" t="s">
        <v>268</v>
      </c>
      <c r="D95" s="8" t="s">
        <v>90</v>
      </c>
      <c r="E95" s="4" t="s">
        <v>91</v>
      </c>
      <c r="F95" s="4" t="s">
        <v>25</v>
      </c>
      <c r="G95" s="5">
        <v>22900</v>
      </c>
      <c r="H95" s="5" t="s">
        <v>26</v>
      </c>
      <c r="I95" s="5" t="s">
        <v>269</v>
      </c>
      <c r="J95" s="8" t="s">
        <v>529</v>
      </c>
      <c r="K95" s="8" t="s">
        <v>477</v>
      </c>
      <c r="L95" s="8" t="s">
        <v>270</v>
      </c>
      <c r="M95" s="8" t="s">
        <v>142</v>
      </c>
      <c r="N95" s="8" t="str">
        <f>IF(ISBLANK(Table1[[#This Row],[Dealer_Name]]), "UNKNOWN", Table1[[#This Row],[Dealer_Name]])</f>
        <v>Jeep Nation</v>
      </c>
      <c r="O95" s="8" t="s">
        <v>85</v>
      </c>
      <c r="P95" s="8" t="s">
        <v>31</v>
      </c>
      <c r="Q95" s="10" t="s">
        <v>271</v>
      </c>
      <c r="R95" s="13" t="str">
        <f>IF(ISBLANK(Table1[[#This Row],[Engine_Size]]), "UNKNOWN",Table1[[#This Row],[Engine_Size]])</f>
        <v>3.7L</v>
      </c>
      <c r="S95" s="4" t="s">
        <v>54</v>
      </c>
      <c r="T95" s="8" t="str">
        <f>IF(ISBLANK(Table1[[#This Row],[Color]]), "UNKNOWN", Table1[[#This Row],[Color]])</f>
        <v>Silver</v>
      </c>
      <c r="U95" s="13">
        <v>45000</v>
      </c>
      <c r="V95" s="4">
        <v>2016</v>
      </c>
      <c r="W95" s="4">
        <v>202408</v>
      </c>
      <c r="X95" s="15">
        <f t="shared" si="2"/>
        <v>45535</v>
      </c>
      <c r="Y95" s="4" t="s">
        <v>108</v>
      </c>
      <c r="Z95" s="4" t="s">
        <v>79</v>
      </c>
    </row>
    <row r="96" spans="1:26" x14ac:dyDescent="0.2">
      <c r="A96" s="4" t="s">
        <v>347</v>
      </c>
      <c r="B96" s="8" t="s">
        <v>222</v>
      </c>
      <c r="C96" s="8" t="s">
        <v>223</v>
      </c>
      <c r="D96" s="8" t="s">
        <v>90</v>
      </c>
      <c r="E96" s="4" t="s">
        <v>91</v>
      </c>
      <c r="F96" s="4" t="s">
        <v>25</v>
      </c>
      <c r="G96" s="5">
        <v>38900</v>
      </c>
      <c r="H96" s="5" t="s">
        <v>41</v>
      </c>
      <c r="I96" s="5" t="s">
        <v>224</v>
      </c>
      <c r="J96" s="8" t="s">
        <v>499</v>
      </c>
      <c r="K96" s="8" t="s">
        <v>519</v>
      </c>
      <c r="L96" s="8" t="s">
        <v>225</v>
      </c>
      <c r="M96" s="8" t="s">
        <v>142</v>
      </c>
      <c r="N96" s="8" t="str">
        <f>IF(ISBLANK(Table1[[#This Row],[Dealer_Name]]), "UNKNOWN", Table1[[#This Row],[Dealer_Name]])</f>
        <v>Jeep Nation</v>
      </c>
      <c r="O96" s="8" t="s">
        <v>85</v>
      </c>
      <c r="P96" s="8" t="s">
        <v>31</v>
      </c>
      <c r="Q96" s="10" t="s">
        <v>86</v>
      </c>
      <c r="R96" s="13" t="str">
        <f>IF(ISBLANK(Table1[[#This Row],[Engine_Size]]), "UNKNOWN",Table1[[#This Row],[Engine_Size]])</f>
        <v>3.6L</v>
      </c>
      <c r="S96" s="4" t="s">
        <v>101</v>
      </c>
      <c r="T96" s="8" t="str">
        <f>IF(ISBLANK(Table1[[#This Row],[Color]]), "UNKNOWN", Table1[[#This Row],[Color]])</f>
        <v>Gray</v>
      </c>
      <c r="U96" s="13">
        <v>35000</v>
      </c>
      <c r="V96" s="4">
        <v>2020</v>
      </c>
      <c r="W96" s="4">
        <v>202402</v>
      </c>
      <c r="X96" s="15">
        <f t="shared" si="2"/>
        <v>45351</v>
      </c>
      <c r="Y96" s="4" t="s">
        <v>47</v>
      </c>
      <c r="Z96" s="4" t="s">
        <v>35</v>
      </c>
    </row>
    <row r="97" spans="1:26" x14ac:dyDescent="0.2">
      <c r="A97" s="4" t="s">
        <v>348</v>
      </c>
      <c r="B97" s="8" t="s">
        <v>244</v>
      </c>
      <c r="C97" s="8" t="s">
        <v>300</v>
      </c>
      <c r="D97" s="8" t="s">
        <v>23</v>
      </c>
      <c r="E97" s="4" t="s">
        <v>73</v>
      </c>
      <c r="F97" s="4" t="s">
        <v>485</v>
      </c>
      <c r="G97" s="5">
        <v>69900</v>
      </c>
      <c r="H97" s="5" t="s">
        <v>229</v>
      </c>
      <c r="I97" s="5" t="s">
        <v>301</v>
      </c>
      <c r="J97" s="8" t="s">
        <v>536</v>
      </c>
      <c r="K97" s="8" t="s">
        <v>479</v>
      </c>
      <c r="L97" s="8" t="s">
        <v>302</v>
      </c>
      <c r="M97" s="8" t="s">
        <v>248</v>
      </c>
      <c r="N97" s="8" t="str">
        <f>IF(ISBLANK(Table1[[#This Row],[Dealer_Name]]), "UNKNOWN", Table1[[#This Row],[Dealer_Name]])</f>
        <v>BMW Elite</v>
      </c>
      <c r="O97" s="8" t="s">
        <v>52</v>
      </c>
      <c r="P97" s="8" t="s">
        <v>31</v>
      </c>
      <c r="Q97" s="10" t="s">
        <v>190</v>
      </c>
      <c r="R97" s="13" t="str">
        <f>IF(ISBLANK(Table1[[#This Row],[Engine_Size]]), "UNKNOWN",Table1[[#This Row],[Engine_Size]])</f>
        <v>3.0L</v>
      </c>
      <c r="S97" s="4" t="s">
        <v>33</v>
      </c>
      <c r="T97" s="8" t="str">
        <f>IF(ISBLANK(Table1[[#This Row],[Color]]), "UNKNOWN", Table1[[#This Row],[Color]])</f>
        <v>White</v>
      </c>
      <c r="U97" s="13">
        <v>6000</v>
      </c>
      <c r="V97" s="4">
        <v>2023</v>
      </c>
      <c r="W97" s="4">
        <v>202412</v>
      </c>
      <c r="X97" s="15">
        <f t="shared" si="2"/>
        <v>45657</v>
      </c>
      <c r="Y97" s="4" t="s">
        <v>197</v>
      </c>
      <c r="Z97" s="4" t="s">
        <v>158</v>
      </c>
    </row>
    <row r="98" spans="1:26" x14ac:dyDescent="0.2">
      <c r="A98" s="4" t="s">
        <v>349</v>
      </c>
      <c r="B98" s="8" t="s">
        <v>244</v>
      </c>
      <c r="C98" s="8" t="s">
        <v>245</v>
      </c>
      <c r="D98" s="8" t="s">
        <v>23</v>
      </c>
      <c r="E98" s="4" t="s">
        <v>73</v>
      </c>
      <c r="F98" s="4" t="s">
        <v>485</v>
      </c>
      <c r="G98" s="5">
        <v>89900</v>
      </c>
      <c r="H98" s="5" t="s">
        <v>229</v>
      </c>
      <c r="I98" s="5" t="s">
        <v>246</v>
      </c>
      <c r="J98" s="8" t="s">
        <v>525</v>
      </c>
      <c r="K98" s="8" t="s">
        <v>468</v>
      </c>
      <c r="L98" s="8" t="s">
        <v>247</v>
      </c>
      <c r="M98" s="8" t="s">
        <v>248</v>
      </c>
      <c r="N98" s="8" t="str">
        <f>IF(ISBLANK(Table1[[#This Row],[Dealer_Name]]), "UNKNOWN", Table1[[#This Row],[Dealer_Name]])</f>
        <v>BMW Elite</v>
      </c>
      <c r="O98" s="8" t="s">
        <v>52</v>
      </c>
      <c r="P98" s="8" t="s">
        <v>31</v>
      </c>
      <c r="Q98" s="10" t="s">
        <v>190</v>
      </c>
      <c r="R98" s="13" t="str">
        <f>IF(ISBLANK(Table1[[#This Row],[Engine_Size]]), "UNKNOWN",Table1[[#This Row],[Engine_Size]])</f>
        <v>3.0L</v>
      </c>
      <c r="S98" s="4" t="s">
        <v>101</v>
      </c>
      <c r="T98" s="8" t="str">
        <f>IF(ISBLANK(Table1[[#This Row],[Color]]), "UNKNOWN", Table1[[#This Row],[Color]])</f>
        <v>Gray</v>
      </c>
      <c r="U98" s="13">
        <v>26000</v>
      </c>
      <c r="V98" s="4">
        <v>2020</v>
      </c>
      <c r="W98" s="4">
        <v>202407</v>
      </c>
      <c r="X98" s="15">
        <f t="shared" ref="X98:X129" si="3">EOMONTH(DATE(LEFT(W98,4), RIGHT(W98,2), 1), 0)</f>
        <v>45504</v>
      </c>
      <c r="Y98" s="4" t="s">
        <v>78</v>
      </c>
      <c r="Z98" s="4" t="s">
        <v>79</v>
      </c>
    </row>
    <row r="99" spans="1:26" x14ac:dyDescent="0.2">
      <c r="A99" s="4" t="s">
        <v>350</v>
      </c>
      <c r="B99" s="8" t="s">
        <v>222</v>
      </c>
      <c r="C99" s="8" t="s">
        <v>268</v>
      </c>
      <c r="D99" s="8" t="s">
        <v>90</v>
      </c>
      <c r="E99" s="4" t="s">
        <v>91</v>
      </c>
      <c r="F99" s="4" t="s">
        <v>25</v>
      </c>
      <c r="G99" s="5">
        <v>22900</v>
      </c>
      <c r="H99" s="5" t="s">
        <v>26</v>
      </c>
      <c r="I99" s="5" t="s">
        <v>269</v>
      </c>
      <c r="J99" s="8" t="s">
        <v>529</v>
      </c>
      <c r="K99" s="8" t="s">
        <v>477</v>
      </c>
      <c r="L99" s="8" t="s">
        <v>270</v>
      </c>
      <c r="M99" s="8" t="s">
        <v>142</v>
      </c>
      <c r="N99" s="8" t="str">
        <f>IF(ISBLANK(Table1[[#This Row],[Dealer_Name]]), "UNKNOWN", Table1[[#This Row],[Dealer_Name]])</f>
        <v>Jeep Nation</v>
      </c>
      <c r="O99" s="8" t="s">
        <v>85</v>
      </c>
      <c r="P99" s="8" t="s">
        <v>31</v>
      </c>
      <c r="Q99" s="10" t="s">
        <v>271</v>
      </c>
      <c r="R99" s="13" t="str">
        <f>IF(ISBLANK(Table1[[#This Row],[Engine_Size]]), "UNKNOWN",Table1[[#This Row],[Engine_Size]])</f>
        <v>3.7L</v>
      </c>
      <c r="S99" s="4" t="s">
        <v>54</v>
      </c>
      <c r="T99" s="8" t="str">
        <f>IF(ISBLANK(Table1[[#This Row],[Color]]), "UNKNOWN", Table1[[#This Row],[Color]])</f>
        <v>Silver</v>
      </c>
      <c r="U99" s="13">
        <v>45000</v>
      </c>
      <c r="V99" s="4">
        <v>2016</v>
      </c>
      <c r="W99" s="4">
        <v>202408</v>
      </c>
      <c r="X99" s="15">
        <f t="shared" si="3"/>
        <v>45535</v>
      </c>
      <c r="Y99" s="4" t="s">
        <v>108</v>
      </c>
      <c r="Z99" s="4" t="s">
        <v>79</v>
      </c>
    </row>
    <row r="100" spans="1:26" x14ac:dyDescent="0.2">
      <c r="A100" s="4" t="s">
        <v>351</v>
      </c>
      <c r="B100" s="8" t="s">
        <v>212</v>
      </c>
      <c r="C100" s="8" t="s">
        <v>304</v>
      </c>
      <c r="D100" s="8" t="s">
        <v>262</v>
      </c>
      <c r="E100" s="4" t="s">
        <v>305</v>
      </c>
      <c r="F100" s="4" t="s">
        <v>25</v>
      </c>
      <c r="G100" s="5">
        <v>115900</v>
      </c>
      <c r="H100" s="5" t="s">
        <v>264</v>
      </c>
      <c r="I100" s="5" t="s">
        <v>306</v>
      </c>
      <c r="J100" s="8" t="s">
        <v>537</v>
      </c>
      <c r="K100" s="8" t="s">
        <v>519</v>
      </c>
      <c r="L100" s="8" t="s">
        <v>307</v>
      </c>
      <c r="M100" s="8" t="s">
        <v>183</v>
      </c>
      <c r="N100" s="8" t="str">
        <f>IF(ISBLANK(Table1[[#This Row],[Dealer_Name]]), "UNKNOWN", Table1[[#This Row],[Dealer_Name]])</f>
        <v>Nissan Direct</v>
      </c>
      <c r="O100" s="8" t="s">
        <v>85</v>
      </c>
      <c r="P100" s="8" t="s">
        <v>31</v>
      </c>
      <c r="Q100" s="10" t="s">
        <v>128</v>
      </c>
      <c r="R100" s="13" t="str">
        <f>IF(ISBLANK(Table1[[#This Row],[Engine_Size]]), "UNKNOWN",Table1[[#This Row],[Engine_Size]])</f>
        <v>3.8L</v>
      </c>
      <c r="S100" s="4" t="s">
        <v>46</v>
      </c>
      <c r="T100" s="8" t="str">
        <f>IF(ISBLANK(Table1[[#This Row],[Color]]), "UNKNOWN", Table1[[#This Row],[Color]])</f>
        <v>Black</v>
      </c>
      <c r="U100" s="13">
        <v>2500</v>
      </c>
      <c r="V100" s="4">
        <v>2024</v>
      </c>
      <c r="W100" s="4">
        <v>202412</v>
      </c>
      <c r="X100" s="15">
        <f t="shared" si="3"/>
        <v>45657</v>
      </c>
      <c r="Y100" s="4" t="s">
        <v>197</v>
      </c>
      <c r="Z100" s="4" t="s">
        <v>158</v>
      </c>
    </row>
    <row r="101" spans="1:26" x14ac:dyDescent="0.2">
      <c r="A101" s="4" t="s">
        <v>352</v>
      </c>
      <c r="B101" s="8" t="s">
        <v>212</v>
      </c>
      <c r="C101" s="8" t="s">
        <v>304</v>
      </c>
      <c r="D101" s="8" t="s">
        <v>262</v>
      </c>
      <c r="E101" s="4" t="s">
        <v>305</v>
      </c>
      <c r="F101" s="4" t="s">
        <v>25</v>
      </c>
      <c r="G101" s="5">
        <v>115900</v>
      </c>
      <c r="H101" s="5" t="s">
        <v>264</v>
      </c>
      <c r="I101" s="5" t="s">
        <v>306</v>
      </c>
      <c r="J101" s="8" t="s">
        <v>537</v>
      </c>
      <c r="K101" s="8" t="s">
        <v>519</v>
      </c>
      <c r="L101" s="8" t="s">
        <v>307</v>
      </c>
      <c r="M101" s="8" t="s">
        <v>183</v>
      </c>
      <c r="N101" s="8" t="str">
        <f>IF(ISBLANK(Table1[[#This Row],[Dealer_Name]]), "UNKNOWN", Table1[[#This Row],[Dealer_Name]])</f>
        <v>Nissan Direct</v>
      </c>
      <c r="O101" s="8" t="s">
        <v>85</v>
      </c>
      <c r="P101" s="8" t="s">
        <v>31</v>
      </c>
      <c r="Q101" s="10" t="s">
        <v>128</v>
      </c>
      <c r="R101" s="13" t="str">
        <f>IF(ISBLANK(Table1[[#This Row],[Engine_Size]]), "UNKNOWN",Table1[[#This Row],[Engine_Size]])</f>
        <v>3.8L</v>
      </c>
      <c r="S101" s="4" t="s">
        <v>46</v>
      </c>
      <c r="T101" s="8" t="str">
        <f>IF(ISBLANK(Table1[[#This Row],[Color]]), "UNKNOWN", Table1[[#This Row],[Color]])</f>
        <v>Black</v>
      </c>
      <c r="U101" s="13">
        <v>2500</v>
      </c>
      <c r="V101" s="4">
        <v>2024</v>
      </c>
      <c r="W101" s="4">
        <v>202412</v>
      </c>
      <c r="X101" s="15">
        <f t="shared" si="3"/>
        <v>45657</v>
      </c>
      <c r="Y101" s="4" t="s">
        <v>197</v>
      </c>
      <c r="Z101" s="4" t="s">
        <v>158</v>
      </c>
    </row>
    <row r="102" spans="1:26" x14ac:dyDescent="0.2">
      <c r="A102" s="4" t="s">
        <v>353</v>
      </c>
      <c r="B102" s="8" t="s">
        <v>222</v>
      </c>
      <c r="C102" s="8" t="s">
        <v>283</v>
      </c>
      <c r="D102" s="8" t="s">
        <v>90</v>
      </c>
      <c r="E102" s="4" t="s">
        <v>91</v>
      </c>
      <c r="F102" s="4" t="s">
        <v>25</v>
      </c>
      <c r="G102" s="5">
        <v>27900</v>
      </c>
      <c r="H102" s="5" t="s">
        <v>41</v>
      </c>
      <c r="I102" s="5" t="s">
        <v>284</v>
      </c>
      <c r="J102" s="8" t="s">
        <v>532</v>
      </c>
      <c r="K102" s="8" t="s">
        <v>477</v>
      </c>
      <c r="L102" s="8" t="s">
        <v>285</v>
      </c>
      <c r="M102" s="8" t="s">
        <v>142</v>
      </c>
      <c r="N102" s="8" t="str">
        <f>IF(ISBLANK(Table1[[#This Row],[Dealer_Name]]), "UNKNOWN", Table1[[#This Row],[Dealer_Name]])</f>
        <v>Jeep Nation</v>
      </c>
      <c r="O102" s="8" t="s">
        <v>85</v>
      </c>
      <c r="P102" s="8" t="s">
        <v>31</v>
      </c>
      <c r="Q102" s="10" t="s">
        <v>286</v>
      </c>
      <c r="R102" s="13" t="str">
        <f>IF(ISBLANK(Table1[[#This Row],[Engine_Size]]), "UNKNOWN",Table1[[#This Row],[Engine_Size]])</f>
        <v>1.3L</v>
      </c>
      <c r="S102" s="4" t="s">
        <v>54</v>
      </c>
      <c r="T102" s="8" t="str">
        <f>IF(ISBLANK(Table1[[#This Row],[Color]]), "UNKNOWN", Table1[[#This Row],[Color]])</f>
        <v>Silver</v>
      </c>
      <c r="U102" s="13">
        <v>13000</v>
      </c>
      <c r="V102" s="4">
        <v>2023</v>
      </c>
      <c r="W102" s="4">
        <v>202410</v>
      </c>
      <c r="X102" s="15">
        <f t="shared" si="3"/>
        <v>45596</v>
      </c>
      <c r="Y102" s="4" t="s">
        <v>157</v>
      </c>
      <c r="Z102" s="4" t="s">
        <v>158</v>
      </c>
    </row>
    <row r="103" spans="1:26" x14ac:dyDescent="0.2">
      <c r="A103" s="4" t="s">
        <v>354</v>
      </c>
      <c r="B103" s="8" t="s">
        <v>212</v>
      </c>
      <c r="C103" s="8" t="s">
        <v>213</v>
      </c>
      <c r="D103" s="8" t="s">
        <v>23</v>
      </c>
      <c r="E103" s="4" t="s">
        <v>73</v>
      </c>
      <c r="F103" s="4" t="s">
        <v>25</v>
      </c>
      <c r="G103" s="5">
        <v>26800</v>
      </c>
      <c r="H103" s="5" t="s">
        <v>41</v>
      </c>
      <c r="I103" s="5" t="s">
        <v>214</v>
      </c>
      <c r="J103" s="8" t="s">
        <v>515</v>
      </c>
      <c r="K103" s="8" t="s">
        <v>516</v>
      </c>
      <c r="L103" s="8" t="s">
        <v>215</v>
      </c>
      <c r="N103" s="9" t="str">
        <f>IF(ISBLANK(Table1[[#This Row],[Dealer_Name]]), "UNKNOWN", Table1[[#This Row],[Dealer_Name]])</f>
        <v>UNKNOWN</v>
      </c>
      <c r="O103" s="8" t="s">
        <v>52</v>
      </c>
      <c r="P103" s="8" t="s">
        <v>31</v>
      </c>
      <c r="Q103" s="10" t="s">
        <v>60</v>
      </c>
      <c r="R103" s="13" t="str">
        <f>IF(ISBLANK(Table1[[#This Row],[Engine_Size]]), "UNKNOWN",Table1[[#This Row],[Engine_Size]])</f>
        <v>2.5L</v>
      </c>
      <c r="S103" s="4" t="s">
        <v>54</v>
      </c>
      <c r="T103" s="8" t="str">
        <f>IF(ISBLANK(Table1[[#This Row],[Color]]), "UNKNOWN", Table1[[#This Row],[Color]])</f>
        <v>Silver</v>
      </c>
      <c r="U103" s="13">
        <v>22000</v>
      </c>
      <c r="V103" s="4">
        <v>2020</v>
      </c>
      <c r="W103" s="4">
        <v>202402</v>
      </c>
      <c r="X103" s="15">
        <f t="shared" si="3"/>
        <v>45351</v>
      </c>
      <c r="Y103" s="4" t="s">
        <v>47</v>
      </c>
      <c r="Z103" s="4" t="s">
        <v>35</v>
      </c>
    </row>
    <row r="104" spans="1:26" x14ac:dyDescent="0.2">
      <c r="A104" s="4" t="s">
        <v>355</v>
      </c>
      <c r="B104" s="8" t="s">
        <v>255</v>
      </c>
      <c r="C104" s="8" t="s">
        <v>278</v>
      </c>
      <c r="D104" s="8" t="s">
        <v>90</v>
      </c>
      <c r="E104" s="4" t="s">
        <v>91</v>
      </c>
      <c r="F104" s="4" t="s">
        <v>25</v>
      </c>
      <c r="G104" s="5">
        <v>22900</v>
      </c>
      <c r="H104" s="5" t="s">
        <v>26</v>
      </c>
      <c r="I104" s="5" t="s">
        <v>279</v>
      </c>
      <c r="J104" s="8" t="s">
        <v>531</v>
      </c>
      <c r="K104" s="8" t="s">
        <v>493</v>
      </c>
      <c r="L104" s="8" t="s">
        <v>280</v>
      </c>
      <c r="M104" s="8" t="s">
        <v>67</v>
      </c>
      <c r="N104" s="8" t="str">
        <f>IF(ISBLANK(Table1[[#This Row],[Dealer_Name]]), "UNKNOWN", Table1[[#This Row],[Dealer_Name]])</f>
        <v>Ford Country</v>
      </c>
      <c r="O104" s="8" t="s">
        <v>68</v>
      </c>
      <c r="P104" s="8" t="s">
        <v>31</v>
      </c>
      <c r="Q104" s="10" t="s">
        <v>281</v>
      </c>
      <c r="R104" s="13" t="str">
        <f>IF(ISBLANK(Table1[[#This Row],[Engine_Size]]), "UNKNOWN",Table1[[#This Row],[Engine_Size]])</f>
        <v>1.0L</v>
      </c>
      <c r="S104" s="4" t="s">
        <v>33</v>
      </c>
      <c r="T104" s="8" t="str">
        <f>IF(ISBLANK(Table1[[#This Row],[Color]]), "UNKNOWN", Table1[[#This Row],[Color]])</f>
        <v>White</v>
      </c>
      <c r="U104" s="13">
        <v>19000</v>
      </c>
      <c r="V104" s="4">
        <v>2021</v>
      </c>
      <c r="W104" s="4">
        <v>202409</v>
      </c>
      <c r="X104" s="15">
        <f t="shared" si="3"/>
        <v>45565</v>
      </c>
      <c r="Y104" s="4" t="s">
        <v>134</v>
      </c>
      <c r="Z104" s="4" t="s">
        <v>79</v>
      </c>
    </row>
    <row r="105" spans="1:26" x14ac:dyDescent="0.2">
      <c r="A105" s="4" t="s">
        <v>356</v>
      </c>
      <c r="B105" s="8" t="s">
        <v>212</v>
      </c>
      <c r="C105" s="8" t="s">
        <v>250</v>
      </c>
      <c r="D105" s="8" t="s">
        <v>90</v>
      </c>
      <c r="E105" s="4" t="s">
        <v>91</v>
      </c>
      <c r="F105" s="4" t="s">
        <v>25</v>
      </c>
      <c r="G105" s="5">
        <v>51200</v>
      </c>
      <c r="H105" s="5" t="s">
        <v>92</v>
      </c>
      <c r="I105" s="5" t="s">
        <v>251</v>
      </c>
      <c r="J105" s="8" t="s">
        <v>526</v>
      </c>
      <c r="K105" s="8" t="s">
        <v>496</v>
      </c>
      <c r="L105" s="8" t="s">
        <v>252</v>
      </c>
      <c r="M105" s="8" t="s">
        <v>183</v>
      </c>
      <c r="N105" s="8" t="str">
        <f>IF(ISBLANK(Table1[[#This Row],[Dealer_Name]]), "UNKNOWN", Table1[[#This Row],[Dealer_Name]])</f>
        <v>Nissan Direct</v>
      </c>
      <c r="O105" s="8" t="s">
        <v>85</v>
      </c>
      <c r="P105" s="8" t="s">
        <v>31</v>
      </c>
      <c r="Q105" s="10" t="s">
        <v>253</v>
      </c>
      <c r="R105" s="13" t="str">
        <f>IF(ISBLANK(Table1[[#This Row],[Engine_Size]]), "UNKNOWN",Table1[[#This Row],[Engine_Size]])</f>
        <v>5.6L</v>
      </c>
      <c r="S105" s="4" t="s">
        <v>61</v>
      </c>
      <c r="T105" s="8" t="str">
        <f>IF(ISBLANK(Table1[[#This Row],[Color]]), "UNKNOWN", Table1[[#This Row],[Color]])</f>
        <v>Blue</v>
      </c>
      <c r="U105" s="13">
        <v>30000</v>
      </c>
      <c r="V105" s="4">
        <v>2020</v>
      </c>
      <c r="W105" s="4">
        <v>202407</v>
      </c>
      <c r="X105" s="15">
        <f t="shared" si="3"/>
        <v>45504</v>
      </c>
      <c r="Y105" s="4" t="s">
        <v>78</v>
      </c>
      <c r="Z105" s="4" t="s">
        <v>79</v>
      </c>
    </row>
    <row r="106" spans="1:26" x14ac:dyDescent="0.2">
      <c r="A106" s="4" t="s">
        <v>357</v>
      </c>
      <c r="B106" s="8" t="s">
        <v>222</v>
      </c>
      <c r="C106" s="8" t="s">
        <v>223</v>
      </c>
      <c r="D106" s="8" t="s">
        <v>90</v>
      </c>
      <c r="E106" s="4" t="s">
        <v>91</v>
      </c>
      <c r="F106" s="4" t="s">
        <v>25</v>
      </c>
      <c r="G106" s="5">
        <v>41200</v>
      </c>
      <c r="H106" s="5" t="s">
        <v>92</v>
      </c>
      <c r="I106" s="5" t="s">
        <v>236</v>
      </c>
      <c r="J106" s="8" t="s">
        <v>523</v>
      </c>
      <c r="K106" s="8" t="s">
        <v>33</v>
      </c>
      <c r="L106" s="8" t="s">
        <v>237</v>
      </c>
      <c r="M106" s="8" t="s">
        <v>84</v>
      </c>
      <c r="N106" s="8" t="str">
        <f>IF(ISBLANK(Table1[[#This Row],[Dealer_Name]]), "UNKNOWN", Table1[[#This Row],[Dealer_Name]])</f>
        <v>jeep nation</v>
      </c>
      <c r="O106" s="8" t="s">
        <v>85</v>
      </c>
      <c r="P106" s="8" t="s">
        <v>31</v>
      </c>
      <c r="Q106" s="10" t="s">
        <v>86</v>
      </c>
      <c r="R106" s="13" t="str">
        <f>IF(ISBLANK(Table1[[#This Row],[Engine_Size]]), "UNKNOWN",Table1[[#This Row],[Engine_Size]])</f>
        <v>3.6L</v>
      </c>
      <c r="S106" s="4" t="s">
        <v>46</v>
      </c>
      <c r="T106" s="8" t="str">
        <f>IF(ISBLANK(Table1[[#This Row],[Color]]), "UNKNOWN", Table1[[#This Row],[Color]])</f>
        <v>Black</v>
      </c>
      <c r="U106" s="13">
        <v>29000</v>
      </c>
      <c r="V106" s="4">
        <v>2020</v>
      </c>
      <c r="W106" s="4">
        <v>202403</v>
      </c>
      <c r="X106" s="15">
        <f t="shared" si="3"/>
        <v>45382</v>
      </c>
      <c r="Y106" s="4" t="s">
        <v>55</v>
      </c>
      <c r="Z106" s="4" t="s">
        <v>35</v>
      </c>
    </row>
    <row r="107" spans="1:26" x14ac:dyDescent="0.2">
      <c r="A107" s="4" t="s">
        <v>358</v>
      </c>
      <c r="B107" s="8" t="s">
        <v>21</v>
      </c>
      <c r="C107" s="8" t="s">
        <v>37</v>
      </c>
      <c r="D107" s="8" t="s">
        <v>38</v>
      </c>
      <c r="E107" s="4" t="s">
        <v>39</v>
      </c>
      <c r="F107" s="4" t="s">
        <v>40</v>
      </c>
      <c r="G107" s="5">
        <v>27000</v>
      </c>
      <c r="H107" s="5" t="s">
        <v>41</v>
      </c>
      <c r="I107" s="5" t="s">
        <v>359</v>
      </c>
      <c r="J107" s="8" t="s">
        <v>538</v>
      </c>
      <c r="K107" s="8" t="s">
        <v>484</v>
      </c>
      <c r="L107" s="8" t="s">
        <v>360</v>
      </c>
      <c r="M107" s="8" t="s">
        <v>248</v>
      </c>
      <c r="N107" s="8" t="str">
        <f>IF(ISBLANK(Table1[[#This Row],[Dealer_Name]]), "UNKNOWN", Table1[[#This Row],[Dealer_Name]])</f>
        <v>BMW Elite</v>
      </c>
      <c r="O107" s="8" t="s">
        <v>52</v>
      </c>
      <c r="P107" s="8" t="s">
        <v>31</v>
      </c>
      <c r="Q107" s="10" t="s">
        <v>190</v>
      </c>
      <c r="R107" s="13" t="str">
        <f>IF(ISBLANK(Table1[[#This Row],[Engine_Size]]), "UNKNOWN",Table1[[#This Row],[Engine_Size]])</f>
        <v>3.0L</v>
      </c>
      <c r="S107" s="4" t="s">
        <v>101</v>
      </c>
      <c r="T107" s="8" t="str">
        <f>IF(ISBLANK(Table1[[#This Row],[Color]]), "UNKNOWN", Table1[[#This Row],[Color]])</f>
        <v>Gray</v>
      </c>
      <c r="U107" s="13">
        <v>32000</v>
      </c>
      <c r="V107" s="4">
        <v>2020</v>
      </c>
      <c r="W107" s="4">
        <v>202404</v>
      </c>
      <c r="X107" s="15">
        <f t="shared" si="3"/>
        <v>45412</v>
      </c>
      <c r="Y107" s="4" t="s">
        <v>361</v>
      </c>
      <c r="Z107" s="4" t="s">
        <v>362</v>
      </c>
    </row>
    <row r="108" spans="1:26" x14ac:dyDescent="0.2">
      <c r="A108" s="4" t="s">
        <v>363</v>
      </c>
      <c r="B108" s="8" t="s">
        <v>21</v>
      </c>
      <c r="C108" s="8" t="s">
        <v>37</v>
      </c>
      <c r="D108" s="8" t="s">
        <v>38</v>
      </c>
      <c r="E108" s="4" t="s">
        <v>39</v>
      </c>
      <c r="F108" s="4" t="s">
        <v>40</v>
      </c>
      <c r="G108" s="5">
        <v>27000</v>
      </c>
      <c r="H108" s="5" t="s">
        <v>41</v>
      </c>
      <c r="I108" s="5" t="s">
        <v>364</v>
      </c>
      <c r="J108" s="8" t="s">
        <v>539</v>
      </c>
      <c r="K108" s="8" t="s">
        <v>487</v>
      </c>
      <c r="L108" s="8" t="s">
        <v>365</v>
      </c>
      <c r="M108" s="8" t="s">
        <v>165</v>
      </c>
      <c r="N108" s="8" t="str">
        <f>IF(ISBLANK(Table1[[#This Row],[Dealer_Name]]), "UNKNOWN", Table1[[#This Row],[Dealer_Name]])</f>
        <v>Tesla Direct</v>
      </c>
      <c r="O108" s="8" t="s">
        <v>30</v>
      </c>
      <c r="P108" s="8" t="s">
        <v>166</v>
      </c>
      <c r="R108" s="14" t="str">
        <f>IF(ISBLANK(Table1[[#This Row],[Engine_Size]]), "UNKNOWN",Table1[[#This Row],[Engine_Size]])</f>
        <v>UNKNOWN</v>
      </c>
      <c r="S108" s="4" t="s">
        <v>33</v>
      </c>
      <c r="T108" s="8" t="str">
        <f>IF(ISBLANK(Table1[[#This Row],[Color]]), "UNKNOWN", Table1[[#This Row],[Color]])</f>
        <v>White</v>
      </c>
      <c r="U108" s="13">
        <v>12000</v>
      </c>
      <c r="V108" s="4">
        <v>2023</v>
      </c>
      <c r="W108" s="4">
        <v>202404</v>
      </c>
      <c r="X108" s="15">
        <f t="shared" si="3"/>
        <v>45412</v>
      </c>
      <c r="Y108" s="4" t="s">
        <v>361</v>
      </c>
      <c r="Z108" s="4" t="s">
        <v>362</v>
      </c>
    </row>
    <row r="109" spans="1:26" x14ac:dyDescent="0.2">
      <c r="A109" s="4" t="s">
        <v>366</v>
      </c>
      <c r="B109" s="8" t="s">
        <v>21</v>
      </c>
      <c r="C109" s="8" t="s">
        <v>37</v>
      </c>
      <c r="D109" s="8" t="s">
        <v>23</v>
      </c>
      <c r="E109" s="4" t="s">
        <v>73</v>
      </c>
      <c r="F109" s="4" t="s">
        <v>25</v>
      </c>
      <c r="G109" s="5">
        <v>29500</v>
      </c>
      <c r="H109" s="5" t="s">
        <v>41</v>
      </c>
      <c r="I109" s="5" t="s">
        <v>367</v>
      </c>
      <c r="J109" s="8" t="s">
        <v>540</v>
      </c>
      <c r="K109" s="8" t="s">
        <v>468</v>
      </c>
      <c r="L109" s="8" t="s">
        <v>368</v>
      </c>
      <c r="M109" s="8" t="s">
        <v>76</v>
      </c>
      <c r="N109" s="8" t="str">
        <f>IF(ISBLANK(Table1[[#This Row],[Dealer_Name]]), "UNKNOWN", Table1[[#This Row],[Dealer_Name]])</f>
        <v>toyota center</v>
      </c>
      <c r="O109" s="8" t="s">
        <v>30</v>
      </c>
      <c r="P109" s="8" t="s">
        <v>39</v>
      </c>
      <c r="Q109" s="10" t="s">
        <v>32</v>
      </c>
      <c r="R109" s="13" t="str">
        <f>IF(ISBLANK(Table1[[#This Row],[Engine_Size]]), "UNKNOWN",Table1[[#This Row],[Engine_Size]])</f>
        <v>1.8L</v>
      </c>
      <c r="S109" s="4" t="s">
        <v>61</v>
      </c>
      <c r="T109" s="8" t="str">
        <f>IF(ISBLANK(Table1[[#This Row],[Color]]), "UNKNOWN", Table1[[#This Row],[Color]])</f>
        <v>Blue</v>
      </c>
      <c r="U109" s="13">
        <v>9000</v>
      </c>
      <c r="V109" s="4">
        <v>2023</v>
      </c>
      <c r="W109" s="4">
        <v>202404</v>
      </c>
      <c r="X109" s="15">
        <f t="shared" si="3"/>
        <v>45412</v>
      </c>
      <c r="Y109" s="4" t="s">
        <v>361</v>
      </c>
      <c r="Z109" s="4" t="s">
        <v>362</v>
      </c>
    </row>
    <row r="110" spans="1:26" x14ac:dyDescent="0.2">
      <c r="A110" s="4" t="s">
        <v>369</v>
      </c>
      <c r="B110" s="8" t="s">
        <v>21</v>
      </c>
      <c r="C110" s="8" t="s">
        <v>37</v>
      </c>
      <c r="D110" s="8" t="s">
        <v>38</v>
      </c>
      <c r="E110" s="4" t="s">
        <v>39</v>
      </c>
      <c r="F110" s="4" t="s">
        <v>40</v>
      </c>
      <c r="G110" s="5">
        <v>27000</v>
      </c>
      <c r="H110" s="5" t="s">
        <v>41</v>
      </c>
      <c r="I110" s="5" t="s">
        <v>370</v>
      </c>
      <c r="J110" s="8" t="s">
        <v>541</v>
      </c>
      <c r="K110" s="8" t="s">
        <v>490</v>
      </c>
      <c r="L110" s="8" t="s">
        <v>371</v>
      </c>
      <c r="M110" s="8" t="s">
        <v>372</v>
      </c>
      <c r="N110" s="8" t="str">
        <f>IF(ISBLANK(Table1[[#This Row],[Dealer_Name]]), "UNKNOWN", Table1[[#This Row],[Dealer_Name]])</f>
        <v>chevy world</v>
      </c>
      <c r="O110" s="8" t="s">
        <v>68</v>
      </c>
      <c r="P110" s="8" t="s">
        <v>31</v>
      </c>
      <c r="Q110" s="10" t="s">
        <v>53</v>
      </c>
      <c r="R110" s="13" t="str">
        <f>IF(ISBLANK(Table1[[#This Row],[Engine_Size]]), "UNKNOWN",Table1[[#This Row],[Engine_Size]])</f>
        <v>1.5L</v>
      </c>
      <c r="S110" s="4" t="s">
        <v>33</v>
      </c>
      <c r="T110" s="8" t="str">
        <f>IF(ISBLANK(Table1[[#This Row],[Color]]), "UNKNOWN", Table1[[#This Row],[Color]])</f>
        <v>White</v>
      </c>
      <c r="U110" s="13">
        <v>20000</v>
      </c>
      <c r="V110" s="4">
        <v>2022</v>
      </c>
      <c r="W110" s="4">
        <v>202404</v>
      </c>
      <c r="X110" s="15">
        <f t="shared" si="3"/>
        <v>45412</v>
      </c>
      <c r="Y110" s="4" t="s">
        <v>361</v>
      </c>
      <c r="Z110" s="4" t="s">
        <v>362</v>
      </c>
    </row>
    <row r="111" spans="1:26" x14ac:dyDescent="0.2">
      <c r="A111" s="4" t="s">
        <v>373</v>
      </c>
      <c r="B111" s="8" t="s">
        <v>21</v>
      </c>
      <c r="C111" s="8" t="s">
        <v>37</v>
      </c>
      <c r="D111" s="8" t="s">
        <v>38</v>
      </c>
      <c r="E111" s="4" t="s">
        <v>39</v>
      </c>
      <c r="F111" s="4" t="s">
        <v>40</v>
      </c>
      <c r="G111" s="5">
        <v>27000</v>
      </c>
      <c r="H111" s="5" t="s">
        <v>41</v>
      </c>
      <c r="I111" s="5" t="s">
        <v>374</v>
      </c>
      <c r="J111" s="8" t="s">
        <v>542</v>
      </c>
      <c r="K111" s="8" t="s">
        <v>33</v>
      </c>
      <c r="L111" s="8" t="s">
        <v>237</v>
      </c>
      <c r="M111" s="8" t="s">
        <v>248</v>
      </c>
      <c r="N111" s="8" t="str">
        <f>IF(ISBLANK(Table1[[#This Row],[Dealer_Name]]), "UNKNOWN", Table1[[#This Row],[Dealer_Name]])</f>
        <v>BMW Elite</v>
      </c>
      <c r="O111" s="8" t="s">
        <v>52</v>
      </c>
      <c r="P111" s="8" t="s">
        <v>31</v>
      </c>
      <c r="Q111" s="10" t="s">
        <v>156</v>
      </c>
      <c r="R111" s="13" t="str">
        <f>IF(ISBLANK(Table1[[#This Row],[Engine_Size]]), "UNKNOWN",Table1[[#This Row],[Engine_Size]])</f>
        <v>2.0L</v>
      </c>
      <c r="S111" s="4" t="s">
        <v>46</v>
      </c>
      <c r="T111" s="8" t="str">
        <f>IF(ISBLANK(Table1[[#This Row],[Color]]), "UNKNOWN", Table1[[#This Row],[Color]])</f>
        <v>Black</v>
      </c>
      <c r="U111" s="13">
        <v>28000</v>
      </c>
      <c r="V111" s="4">
        <v>2020</v>
      </c>
      <c r="W111" s="4">
        <v>202405</v>
      </c>
      <c r="X111" s="15">
        <f t="shared" si="3"/>
        <v>45443</v>
      </c>
      <c r="Y111" s="4" t="s">
        <v>375</v>
      </c>
      <c r="Z111" s="4" t="s">
        <v>362</v>
      </c>
    </row>
    <row r="112" spans="1:26" x14ac:dyDescent="0.2">
      <c r="A112" s="4" t="s">
        <v>376</v>
      </c>
      <c r="B112" s="8" t="s">
        <v>21</v>
      </c>
      <c r="C112" s="8" t="s">
        <v>103</v>
      </c>
      <c r="D112" s="8" t="s">
        <v>90</v>
      </c>
      <c r="E112" s="4" t="s">
        <v>482</v>
      </c>
      <c r="F112" s="4" t="s">
        <v>25</v>
      </c>
      <c r="G112" s="5">
        <v>35800</v>
      </c>
      <c r="H112" s="5" t="s">
        <v>41</v>
      </c>
      <c r="I112" s="5" t="s">
        <v>377</v>
      </c>
      <c r="J112" s="8" t="s">
        <v>543</v>
      </c>
      <c r="K112" s="8" t="s">
        <v>484</v>
      </c>
      <c r="L112" s="8" t="s">
        <v>378</v>
      </c>
      <c r="M112" s="8" t="s">
        <v>29</v>
      </c>
      <c r="N112" s="8" t="str">
        <f>IF(ISBLANK(Table1[[#This Row],[Dealer_Name]]), "UNKNOWN", Table1[[#This Row],[Dealer_Name]])</f>
        <v>Toyota Center</v>
      </c>
      <c r="O112" s="8" t="s">
        <v>30</v>
      </c>
      <c r="P112" s="8" t="s">
        <v>31</v>
      </c>
      <c r="Q112" s="10" t="s">
        <v>60</v>
      </c>
      <c r="R112" s="13" t="str">
        <f>IF(ISBLANK(Table1[[#This Row],[Engine_Size]]), "UNKNOWN",Table1[[#This Row],[Engine_Size]])</f>
        <v>2.5L</v>
      </c>
      <c r="S112" s="4" t="s">
        <v>54</v>
      </c>
      <c r="T112" s="8" t="str">
        <f>IF(ISBLANK(Table1[[#This Row],[Color]]), "UNKNOWN", Table1[[#This Row],[Color]])</f>
        <v>Silver</v>
      </c>
      <c r="U112" s="13">
        <v>11000</v>
      </c>
      <c r="V112" s="4">
        <v>2023</v>
      </c>
      <c r="W112" s="4">
        <v>202405</v>
      </c>
      <c r="X112" s="15">
        <f t="shared" si="3"/>
        <v>45443</v>
      </c>
      <c r="Y112" s="4" t="s">
        <v>375</v>
      </c>
      <c r="Z112" s="4" t="s">
        <v>362</v>
      </c>
    </row>
    <row r="113" spans="1:26" x14ac:dyDescent="0.2">
      <c r="A113" s="4" t="s">
        <v>379</v>
      </c>
      <c r="B113" s="8" t="s">
        <v>21</v>
      </c>
      <c r="C113" s="8" t="s">
        <v>37</v>
      </c>
      <c r="D113" s="8" t="s">
        <v>38</v>
      </c>
      <c r="E113" s="4" t="s">
        <v>39</v>
      </c>
      <c r="F113" s="4" t="s">
        <v>40</v>
      </c>
      <c r="G113" s="5">
        <v>27000</v>
      </c>
      <c r="H113" s="5" t="s">
        <v>41</v>
      </c>
      <c r="I113" s="5" t="s">
        <v>380</v>
      </c>
      <c r="J113" s="8" t="s">
        <v>544</v>
      </c>
      <c r="K113" s="8" t="s">
        <v>487</v>
      </c>
      <c r="L113" s="8" t="s">
        <v>381</v>
      </c>
      <c r="M113" s="8" t="s">
        <v>382</v>
      </c>
      <c r="N113" s="8" t="str">
        <f>IF(ISBLANK(Table1[[#This Row],[Dealer_Name]]), "UNKNOWN", Table1[[#This Row],[Dealer_Name]])</f>
        <v>nissan direct</v>
      </c>
      <c r="O113" s="8" t="s">
        <v>85</v>
      </c>
      <c r="P113" s="8" t="s">
        <v>31</v>
      </c>
      <c r="Q113" s="10" t="s">
        <v>60</v>
      </c>
      <c r="R113" s="13" t="str">
        <f>IF(ISBLANK(Table1[[#This Row],[Engine_Size]]), "UNKNOWN",Table1[[#This Row],[Engine_Size]])</f>
        <v>2.5L</v>
      </c>
      <c r="S113" s="4" t="s">
        <v>61</v>
      </c>
      <c r="T113" s="8" t="str">
        <f>IF(ISBLANK(Table1[[#This Row],[Color]]), "UNKNOWN", Table1[[#This Row],[Color]])</f>
        <v>Blue</v>
      </c>
      <c r="U113" s="13">
        <v>24000</v>
      </c>
      <c r="V113" s="4">
        <v>2021</v>
      </c>
      <c r="W113" s="4">
        <v>202405</v>
      </c>
      <c r="X113" s="15">
        <f t="shared" si="3"/>
        <v>45443</v>
      </c>
      <c r="Y113" s="4" t="s">
        <v>375</v>
      </c>
      <c r="Z113" s="4" t="s">
        <v>362</v>
      </c>
    </row>
    <row r="114" spans="1:26" x14ac:dyDescent="0.2">
      <c r="A114" s="4" t="s">
        <v>383</v>
      </c>
      <c r="B114" s="8" t="s">
        <v>21</v>
      </c>
      <c r="C114" s="8" t="s">
        <v>103</v>
      </c>
      <c r="D114" s="8" t="s">
        <v>90</v>
      </c>
      <c r="E114" s="4" t="s">
        <v>482</v>
      </c>
      <c r="F114" s="4" t="s">
        <v>25</v>
      </c>
      <c r="G114" s="5">
        <v>32000</v>
      </c>
      <c r="H114" s="5" t="s">
        <v>41</v>
      </c>
      <c r="I114" s="5" t="s">
        <v>384</v>
      </c>
      <c r="J114" s="8" t="s">
        <v>478</v>
      </c>
      <c r="K114" s="8" t="s">
        <v>472</v>
      </c>
      <c r="L114" s="8" t="s">
        <v>385</v>
      </c>
      <c r="M114" s="8" t="s">
        <v>248</v>
      </c>
      <c r="N114" s="8" t="str">
        <f>IF(ISBLANK(Table1[[#This Row],[Dealer_Name]]), "UNKNOWN", Table1[[#This Row],[Dealer_Name]])</f>
        <v>BMW Elite</v>
      </c>
      <c r="O114" s="8" t="s">
        <v>52</v>
      </c>
      <c r="P114" s="8" t="s">
        <v>31</v>
      </c>
      <c r="Q114" s="10" t="s">
        <v>156</v>
      </c>
      <c r="R114" s="13" t="str">
        <f>IF(ISBLANK(Table1[[#This Row],[Engine_Size]]), "UNKNOWN",Table1[[#This Row],[Engine_Size]])</f>
        <v>2.0L</v>
      </c>
      <c r="S114" s="4" t="s">
        <v>54</v>
      </c>
      <c r="T114" s="8" t="str">
        <f>IF(ISBLANK(Table1[[#This Row],[Color]]), "UNKNOWN", Table1[[#This Row],[Color]])</f>
        <v>Silver</v>
      </c>
      <c r="U114" s="13">
        <v>21000</v>
      </c>
      <c r="V114" s="4">
        <v>2021</v>
      </c>
      <c r="W114" s="4">
        <v>202405</v>
      </c>
      <c r="X114" s="15">
        <f t="shared" si="3"/>
        <v>45443</v>
      </c>
      <c r="Y114" s="4" t="s">
        <v>375</v>
      </c>
      <c r="Z114" s="4" t="s">
        <v>362</v>
      </c>
    </row>
    <row r="115" spans="1:26" x14ac:dyDescent="0.2">
      <c r="A115" s="4" t="s">
        <v>386</v>
      </c>
      <c r="B115" s="8" t="s">
        <v>21</v>
      </c>
      <c r="C115" s="8" t="s">
        <v>110</v>
      </c>
      <c r="D115" s="8" t="s">
        <v>90</v>
      </c>
      <c r="E115" s="4" t="s">
        <v>91</v>
      </c>
      <c r="F115" s="4" t="s">
        <v>25</v>
      </c>
      <c r="G115" s="5">
        <v>44800</v>
      </c>
      <c r="H115" s="5" t="s">
        <v>92</v>
      </c>
      <c r="I115" s="5" t="s">
        <v>387</v>
      </c>
      <c r="J115" s="8" t="s">
        <v>545</v>
      </c>
      <c r="K115" s="8" t="s">
        <v>33</v>
      </c>
      <c r="L115" s="8" t="s">
        <v>388</v>
      </c>
      <c r="M115" s="8" t="s">
        <v>29</v>
      </c>
      <c r="N115" s="8" t="str">
        <f>IF(ISBLANK(Table1[[#This Row],[Dealer_Name]]), "UNKNOWN", Table1[[#This Row],[Dealer_Name]])</f>
        <v>Toyota Center</v>
      </c>
      <c r="O115" s="8" t="s">
        <v>30</v>
      </c>
      <c r="P115" s="8" t="s">
        <v>31</v>
      </c>
      <c r="Q115" s="10" t="s">
        <v>77</v>
      </c>
      <c r="R115" s="13" t="str">
        <f>IF(ISBLANK(Table1[[#This Row],[Engine_Size]]), "UNKNOWN",Table1[[#This Row],[Engine_Size]])</f>
        <v>3.5L</v>
      </c>
      <c r="S115" s="4" t="s">
        <v>101</v>
      </c>
      <c r="T115" s="8" t="str">
        <f>IF(ISBLANK(Table1[[#This Row],[Color]]), "UNKNOWN", Table1[[#This Row],[Color]])</f>
        <v>Gray</v>
      </c>
      <c r="U115" s="13">
        <v>18000</v>
      </c>
      <c r="V115" s="4">
        <v>2022</v>
      </c>
      <c r="W115" s="4">
        <v>202406</v>
      </c>
      <c r="X115" s="15">
        <f t="shared" si="3"/>
        <v>45473</v>
      </c>
      <c r="Y115" s="4" t="s">
        <v>389</v>
      </c>
      <c r="Z115" s="4" t="s">
        <v>362</v>
      </c>
    </row>
    <row r="116" spans="1:26" x14ac:dyDescent="0.2">
      <c r="A116" s="4" t="s">
        <v>390</v>
      </c>
      <c r="B116" s="8" t="s">
        <v>21</v>
      </c>
      <c r="C116" s="8" t="s">
        <v>110</v>
      </c>
      <c r="D116" s="8" t="s">
        <v>90</v>
      </c>
      <c r="E116" s="4" t="s">
        <v>482</v>
      </c>
      <c r="F116" s="4" t="s">
        <v>485</v>
      </c>
      <c r="G116" s="5">
        <v>43000</v>
      </c>
      <c r="H116" s="5" t="s">
        <v>92</v>
      </c>
      <c r="I116" s="5" t="s">
        <v>391</v>
      </c>
      <c r="J116" s="8" t="s">
        <v>546</v>
      </c>
      <c r="K116" s="8" t="s">
        <v>484</v>
      </c>
      <c r="L116" s="8" t="s">
        <v>392</v>
      </c>
      <c r="M116" s="8" t="s">
        <v>142</v>
      </c>
      <c r="N116" s="8" t="str">
        <f>IF(ISBLANK(Table1[[#This Row],[Dealer_Name]]), "UNKNOWN", Table1[[#This Row],[Dealer_Name]])</f>
        <v>Jeep Nation</v>
      </c>
      <c r="O116" s="8" t="s">
        <v>85</v>
      </c>
      <c r="P116" s="8" t="s">
        <v>31</v>
      </c>
      <c r="Q116" s="10" t="s">
        <v>45</v>
      </c>
      <c r="R116" s="13" t="str">
        <f>IF(ISBLANK(Table1[[#This Row],[Engine_Size]]), "UNKNOWN",Table1[[#This Row],[Engine_Size]])</f>
        <v>2.4L</v>
      </c>
      <c r="S116" s="4" t="s">
        <v>54</v>
      </c>
      <c r="T116" s="8" t="str">
        <f>IF(ISBLANK(Table1[[#This Row],[Color]]), "UNKNOWN", Table1[[#This Row],[Color]])</f>
        <v>Silver</v>
      </c>
      <c r="U116" s="13">
        <v>20000</v>
      </c>
      <c r="V116" s="4">
        <v>2021</v>
      </c>
      <c r="W116" s="4">
        <v>202406</v>
      </c>
      <c r="X116" s="15">
        <f t="shared" si="3"/>
        <v>45473</v>
      </c>
      <c r="Y116" s="4" t="s">
        <v>389</v>
      </c>
      <c r="Z116" s="4" t="s">
        <v>362</v>
      </c>
    </row>
    <row r="117" spans="1:26" x14ac:dyDescent="0.2">
      <c r="A117" s="4" t="s">
        <v>393</v>
      </c>
      <c r="B117" s="8" t="s">
        <v>21</v>
      </c>
      <c r="C117" s="8" t="s">
        <v>103</v>
      </c>
      <c r="D117" s="8" t="s">
        <v>90</v>
      </c>
      <c r="E117" s="4" t="s">
        <v>482</v>
      </c>
      <c r="F117" s="4" t="s">
        <v>25</v>
      </c>
      <c r="G117" s="5">
        <v>32000</v>
      </c>
      <c r="H117" s="5" t="s">
        <v>41</v>
      </c>
      <c r="I117" s="5" t="s">
        <v>394</v>
      </c>
      <c r="J117" s="8" t="s">
        <v>547</v>
      </c>
      <c r="K117" s="8" t="s">
        <v>468</v>
      </c>
      <c r="L117" s="8" t="s">
        <v>395</v>
      </c>
      <c r="M117" s="8" t="s">
        <v>248</v>
      </c>
      <c r="N117" s="8" t="str">
        <f>IF(ISBLANK(Table1[[#This Row],[Dealer_Name]]), "UNKNOWN", Table1[[#This Row],[Dealer_Name]])</f>
        <v>BMW Elite</v>
      </c>
      <c r="O117" s="8" t="s">
        <v>52</v>
      </c>
      <c r="P117" s="8" t="s">
        <v>31</v>
      </c>
      <c r="Q117" s="10" t="s">
        <v>156</v>
      </c>
      <c r="R117" s="13" t="str">
        <f>IF(ISBLANK(Table1[[#This Row],[Engine_Size]]), "UNKNOWN",Table1[[#This Row],[Engine_Size]])</f>
        <v>2.0L</v>
      </c>
      <c r="S117" s="4" t="s">
        <v>46</v>
      </c>
      <c r="T117" s="8" t="str">
        <f>IF(ISBLANK(Table1[[#This Row],[Color]]), "UNKNOWN", Table1[[#This Row],[Color]])</f>
        <v>Black</v>
      </c>
      <c r="U117" s="13">
        <v>15000</v>
      </c>
      <c r="V117" s="4">
        <v>2022</v>
      </c>
      <c r="W117" s="4">
        <v>202406</v>
      </c>
      <c r="X117" s="15">
        <f t="shared" si="3"/>
        <v>45473</v>
      </c>
      <c r="Y117" s="4" t="s">
        <v>389</v>
      </c>
      <c r="Z117" s="4" t="s">
        <v>362</v>
      </c>
    </row>
    <row r="118" spans="1:26" x14ac:dyDescent="0.2">
      <c r="A118" s="4" t="s">
        <v>396</v>
      </c>
      <c r="B118" s="8" t="s">
        <v>21</v>
      </c>
      <c r="C118" s="8" t="s">
        <v>397</v>
      </c>
      <c r="D118" s="8" t="s">
        <v>398</v>
      </c>
      <c r="E118" s="4" t="s">
        <v>399</v>
      </c>
      <c r="F118" s="4" t="s">
        <v>25</v>
      </c>
      <c r="G118" s="5">
        <v>33500</v>
      </c>
      <c r="H118" s="5" t="s">
        <v>41</v>
      </c>
      <c r="I118" s="5" t="s">
        <v>400</v>
      </c>
      <c r="J118" s="8" t="s">
        <v>548</v>
      </c>
      <c r="K118" s="8" t="s">
        <v>519</v>
      </c>
      <c r="L118" s="8" t="s">
        <v>401</v>
      </c>
      <c r="M118" s="8" t="s">
        <v>29</v>
      </c>
      <c r="N118" s="8" t="str">
        <f>IF(ISBLANK(Table1[[#This Row],[Dealer_Name]]), "UNKNOWN", Table1[[#This Row],[Dealer_Name]])</f>
        <v>Toyota Center</v>
      </c>
      <c r="O118" s="8" t="s">
        <v>30</v>
      </c>
      <c r="P118" s="8" t="s">
        <v>31</v>
      </c>
      <c r="Q118" s="10" t="s">
        <v>133</v>
      </c>
      <c r="R118" s="13" t="str">
        <f>IF(ISBLANK(Table1[[#This Row],[Engine_Size]]), "UNKNOWN",Table1[[#This Row],[Engine_Size]])</f>
        <v>2.7L</v>
      </c>
      <c r="S118" s="4" t="s">
        <v>101</v>
      </c>
      <c r="T118" s="8" t="str">
        <f>IF(ISBLANK(Table1[[#This Row],[Color]]), "UNKNOWN", Table1[[#This Row],[Color]])</f>
        <v>Gray</v>
      </c>
      <c r="U118" s="13">
        <v>21000</v>
      </c>
      <c r="V118" s="4">
        <v>2020</v>
      </c>
      <c r="W118" s="4">
        <v>202406</v>
      </c>
      <c r="X118" s="15">
        <f t="shared" si="3"/>
        <v>45473</v>
      </c>
      <c r="Y118" s="4" t="s">
        <v>389</v>
      </c>
      <c r="Z118" s="4" t="s">
        <v>362</v>
      </c>
    </row>
    <row r="119" spans="1:26" x14ac:dyDescent="0.2">
      <c r="A119" s="4" t="s">
        <v>402</v>
      </c>
      <c r="B119" s="8" t="s">
        <v>21</v>
      </c>
      <c r="C119" s="8" t="s">
        <v>110</v>
      </c>
      <c r="D119" s="8" t="s">
        <v>90</v>
      </c>
      <c r="E119" s="4" t="s">
        <v>482</v>
      </c>
      <c r="F119" s="4" t="s">
        <v>485</v>
      </c>
      <c r="G119" s="5">
        <v>43000</v>
      </c>
      <c r="H119" s="5" t="s">
        <v>92</v>
      </c>
      <c r="I119" s="5" t="s">
        <v>403</v>
      </c>
      <c r="J119" s="8" t="s">
        <v>549</v>
      </c>
      <c r="K119" s="8" t="s">
        <v>33</v>
      </c>
      <c r="L119" s="8" t="s">
        <v>404</v>
      </c>
      <c r="M119" s="8" t="s">
        <v>165</v>
      </c>
      <c r="N119" s="8" t="str">
        <f>IF(ISBLANK(Table1[[#This Row],[Dealer_Name]]), "UNKNOWN", Table1[[#This Row],[Dealer_Name]])</f>
        <v>Tesla Direct</v>
      </c>
      <c r="O119" s="8" t="s">
        <v>30</v>
      </c>
      <c r="P119" s="8" t="s">
        <v>166</v>
      </c>
      <c r="R119" s="14" t="str">
        <f>IF(ISBLANK(Table1[[#This Row],[Engine_Size]]), "UNKNOWN",Table1[[#This Row],[Engine_Size]])</f>
        <v>UNKNOWN</v>
      </c>
      <c r="S119" s="4" t="s">
        <v>54</v>
      </c>
      <c r="T119" s="8" t="str">
        <f>IF(ISBLANK(Table1[[#This Row],[Color]]), "UNKNOWN", Table1[[#This Row],[Color]])</f>
        <v>Silver</v>
      </c>
      <c r="U119" s="13">
        <v>1000</v>
      </c>
      <c r="V119" s="4">
        <v>2024</v>
      </c>
      <c r="W119" s="4">
        <v>202406</v>
      </c>
      <c r="X119" s="15">
        <f t="shared" si="3"/>
        <v>45473</v>
      </c>
      <c r="Y119" s="4" t="s">
        <v>389</v>
      </c>
      <c r="Z119" s="4" t="s">
        <v>362</v>
      </c>
    </row>
    <row r="120" spans="1:26" x14ac:dyDescent="0.2">
      <c r="A120" s="4" t="s">
        <v>405</v>
      </c>
      <c r="B120" s="8" t="s">
        <v>207</v>
      </c>
      <c r="C120" s="8" t="s">
        <v>406</v>
      </c>
      <c r="D120" s="8" t="s">
        <v>23</v>
      </c>
      <c r="E120" s="4" t="s">
        <v>73</v>
      </c>
      <c r="F120" s="4" t="s">
        <v>25</v>
      </c>
      <c r="G120" s="5">
        <v>29800</v>
      </c>
      <c r="H120" s="5" t="s">
        <v>41</v>
      </c>
      <c r="I120" s="5" t="s">
        <v>407</v>
      </c>
      <c r="J120" s="8" t="s">
        <v>486</v>
      </c>
      <c r="K120" s="8" t="s">
        <v>479</v>
      </c>
      <c r="L120" s="8" t="s">
        <v>408</v>
      </c>
      <c r="M120" s="8" t="s">
        <v>147</v>
      </c>
      <c r="N120" s="8" t="str">
        <f>IF(ISBLANK(Table1[[#This Row],[Dealer_Name]]), "UNKNOWN", Table1[[#This Row],[Dealer_Name]])</f>
        <v>Metro Honda</v>
      </c>
      <c r="O120" s="8" t="s">
        <v>52</v>
      </c>
      <c r="P120" s="8" t="s">
        <v>31</v>
      </c>
      <c r="Q120" s="10" t="s">
        <v>53</v>
      </c>
      <c r="R120" s="13" t="str">
        <f>IF(ISBLANK(Table1[[#This Row],[Engine_Size]]), "UNKNOWN",Table1[[#This Row],[Engine_Size]])</f>
        <v>1.5L</v>
      </c>
      <c r="S120" s="4" t="s">
        <v>46</v>
      </c>
      <c r="T120" s="8" t="str">
        <f>IF(ISBLANK(Table1[[#This Row],[Color]]), "UNKNOWN", Table1[[#This Row],[Color]])</f>
        <v>Black</v>
      </c>
      <c r="U120" s="13">
        <v>22000</v>
      </c>
      <c r="V120" s="4">
        <v>2021</v>
      </c>
      <c r="W120" s="4">
        <v>202404</v>
      </c>
      <c r="X120" s="15">
        <f t="shared" si="3"/>
        <v>45412</v>
      </c>
      <c r="Y120" s="4" t="s">
        <v>361</v>
      </c>
      <c r="Z120" s="4" t="s">
        <v>362</v>
      </c>
    </row>
    <row r="121" spans="1:26" x14ac:dyDescent="0.2">
      <c r="A121" s="4" t="s">
        <v>409</v>
      </c>
      <c r="B121" s="8" t="s">
        <v>227</v>
      </c>
      <c r="C121" s="8" t="s">
        <v>410</v>
      </c>
      <c r="D121" s="8" t="s">
        <v>90</v>
      </c>
      <c r="E121" s="4" t="s">
        <v>91</v>
      </c>
      <c r="F121" s="4" t="s">
        <v>485</v>
      </c>
      <c r="G121" s="5">
        <v>10435</v>
      </c>
      <c r="H121" s="5" t="s">
        <v>92</v>
      </c>
      <c r="I121" s="5" t="s">
        <v>411</v>
      </c>
      <c r="J121" s="8" t="s">
        <v>550</v>
      </c>
      <c r="K121" s="8" t="s">
        <v>475</v>
      </c>
      <c r="L121" s="8" t="s">
        <v>66</v>
      </c>
      <c r="M121" s="8" t="s">
        <v>165</v>
      </c>
      <c r="N121" s="8" t="str">
        <f>IF(ISBLANK(Table1[[#This Row],[Dealer_Name]]), "UNKNOWN", Table1[[#This Row],[Dealer_Name]])</f>
        <v>Tesla Direct</v>
      </c>
      <c r="O121" s="8" t="s">
        <v>30</v>
      </c>
      <c r="P121" s="8" t="s">
        <v>166</v>
      </c>
      <c r="R121" s="14" t="str">
        <f>IF(ISBLANK(Table1[[#This Row],[Engine_Size]]), "UNKNOWN",Table1[[#This Row],[Engine_Size]])</f>
        <v>UNKNOWN</v>
      </c>
      <c r="S121" s="4" t="s">
        <v>101</v>
      </c>
      <c r="T121" s="8" t="str">
        <f>IF(ISBLANK(Table1[[#This Row],[Color]]), "UNKNOWN", Table1[[#This Row],[Color]])</f>
        <v>Gray</v>
      </c>
      <c r="U121" s="13">
        <v>6000</v>
      </c>
      <c r="V121" s="4">
        <v>2024</v>
      </c>
      <c r="W121" s="4">
        <v>202405</v>
      </c>
      <c r="X121" s="15">
        <f t="shared" si="3"/>
        <v>45443</v>
      </c>
      <c r="Y121" s="4" t="s">
        <v>375</v>
      </c>
      <c r="Z121" s="4" t="s">
        <v>362</v>
      </c>
    </row>
    <row r="122" spans="1:26" x14ac:dyDescent="0.2">
      <c r="A122" s="4" t="s">
        <v>412</v>
      </c>
      <c r="B122" s="8" t="s">
        <v>21</v>
      </c>
      <c r="C122" s="8" t="s">
        <v>37</v>
      </c>
      <c r="D122" s="8" t="s">
        <v>38</v>
      </c>
      <c r="E122" s="4" t="s">
        <v>39</v>
      </c>
      <c r="F122" s="4" t="s">
        <v>40</v>
      </c>
      <c r="G122" s="5">
        <v>27000</v>
      </c>
      <c r="H122" s="5" t="s">
        <v>41</v>
      </c>
      <c r="I122" s="5" t="s">
        <v>359</v>
      </c>
      <c r="J122" s="8" t="s">
        <v>538</v>
      </c>
      <c r="K122" s="8" t="s">
        <v>484</v>
      </c>
      <c r="L122" s="8" t="s">
        <v>360</v>
      </c>
      <c r="M122" s="8" t="s">
        <v>248</v>
      </c>
      <c r="N122" s="8" t="str">
        <f>IF(ISBLANK(Table1[[#This Row],[Dealer_Name]]), "UNKNOWN", Table1[[#This Row],[Dealer_Name]])</f>
        <v>BMW Elite</v>
      </c>
      <c r="O122" s="8" t="s">
        <v>52</v>
      </c>
      <c r="P122" s="8" t="s">
        <v>31</v>
      </c>
      <c r="Q122" s="10" t="s">
        <v>190</v>
      </c>
      <c r="R122" s="13" t="str">
        <f>IF(ISBLANK(Table1[[#This Row],[Engine_Size]]), "UNKNOWN",Table1[[#This Row],[Engine_Size]])</f>
        <v>3.0L</v>
      </c>
      <c r="S122" s="4" t="s">
        <v>101</v>
      </c>
      <c r="T122" s="8" t="str">
        <f>IF(ISBLANK(Table1[[#This Row],[Color]]), "UNKNOWN", Table1[[#This Row],[Color]])</f>
        <v>Gray</v>
      </c>
      <c r="U122" s="13">
        <v>32000</v>
      </c>
      <c r="V122" s="4">
        <v>2020</v>
      </c>
      <c r="W122" s="4">
        <v>202404</v>
      </c>
      <c r="X122" s="15">
        <f t="shared" si="3"/>
        <v>45412</v>
      </c>
      <c r="Y122" s="4" t="s">
        <v>361</v>
      </c>
      <c r="Z122" s="4" t="s">
        <v>362</v>
      </c>
    </row>
    <row r="123" spans="1:26" x14ac:dyDescent="0.2">
      <c r="A123" s="4" t="s">
        <v>413</v>
      </c>
      <c r="B123" s="8" t="s">
        <v>21</v>
      </c>
      <c r="C123" s="8" t="s">
        <v>37</v>
      </c>
      <c r="D123" s="8" t="s">
        <v>38</v>
      </c>
      <c r="E123" s="4" t="s">
        <v>39</v>
      </c>
      <c r="F123" s="4" t="s">
        <v>40</v>
      </c>
      <c r="G123" s="5">
        <v>27000</v>
      </c>
      <c r="H123" s="5" t="s">
        <v>41</v>
      </c>
      <c r="I123" s="5" t="s">
        <v>364</v>
      </c>
      <c r="J123" s="8" t="s">
        <v>539</v>
      </c>
      <c r="K123" s="8" t="s">
        <v>487</v>
      </c>
      <c r="L123" s="8" t="s">
        <v>365</v>
      </c>
      <c r="M123" s="8" t="s">
        <v>165</v>
      </c>
      <c r="N123" s="8" t="str">
        <f>IF(ISBLANK(Table1[[#This Row],[Dealer_Name]]), "UNKNOWN", Table1[[#This Row],[Dealer_Name]])</f>
        <v>Tesla Direct</v>
      </c>
      <c r="O123" s="8" t="s">
        <v>30</v>
      </c>
      <c r="P123" s="8" t="s">
        <v>166</v>
      </c>
      <c r="R123" s="14" t="str">
        <f>IF(ISBLANK(Table1[[#This Row],[Engine_Size]]), "UNKNOWN",Table1[[#This Row],[Engine_Size]])</f>
        <v>UNKNOWN</v>
      </c>
      <c r="S123" s="4" t="s">
        <v>33</v>
      </c>
      <c r="T123" s="8" t="str">
        <f>IF(ISBLANK(Table1[[#This Row],[Color]]), "UNKNOWN", Table1[[#This Row],[Color]])</f>
        <v>White</v>
      </c>
      <c r="U123" s="13">
        <v>12000</v>
      </c>
      <c r="V123" s="4">
        <v>2023</v>
      </c>
      <c r="W123" s="4">
        <v>202404</v>
      </c>
      <c r="X123" s="15">
        <f t="shared" si="3"/>
        <v>45412</v>
      </c>
      <c r="Y123" s="4" t="s">
        <v>361</v>
      </c>
      <c r="Z123" s="4" t="s">
        <v>362</v>
      </c>
    </row>
    <row r="124" spans="1:26" x14ac:dyDescent="0.2">
      <c r="A124" s="4" t="s">
        <v>414</v>
      </c>
      <c r="B124" s="8" t="s">
        <v>21</v>
      </c>
      <c r="C124" s="8" t="s">
        <v>37</v>
      </c>
      <c r="D124" s="8" t="s">
        <v>23</v>
      </c>
      <c r="E124" s="4" t="s">
        <v>73</v>
      </c>
      <c r="F124" s="4" t="s">
        <v>25</v>
      </c>
      <c r="G124" s="5">
        <v>29500</v>
      </c>
      <c r="H124" s="5" t="s">
        <v>41</v>
      </c>
      <c r="I124" s="5" t="s">
        <v>367</v>
      </c>
      <c r="J124" s="8" t="s">
        <v>540</v>
      </c>
      <c r="K124" s="8" t="s">
        <v>468</v>
      </c>
      <c r="L124" s="8" t="s">
        <v>368</v>
      </c>
      <c r="M124" s="8" t="s">
        <v>76</v>
      </c>
      <c r="N124" s="8" t="str">
        <f>IF(ISBLANK(Table1[[#This Row],[Dealer_Name]]), "UNKNOWN", Table1[[#This Row],[Dealer_Name]])</f>
        <v>toyota center</v>
      </c>
      <c r="O124" s="8" t="s">
        <v>30</v>
      </c>
      <c r="P124" s="8" t="s">
        <v>39</v>
      </c>
      <c r="Q124" s="10" t="s">
        <v>32</v>
      </c>
      <c r="R124" s="13" t="str">
        <f>IF(ISBLANK(Table1[[#This Row],[Engine_Size]]), "UNKNOWN",Table1[[#This Row],[Engine_Size]])</f>
        <v>1.8L</v>
      </c>
      <c r="S124" s="4" t="s">
        <v>61</v>
      </c>
      <c r="T124" s="8" t="str">
        <f>IF(ISBLANK(Table1[[#This Row],[Color]]), "UNKNOWN", Table1[[#This Row],[Color]])</f>
        <v>Blue</v>
      </c>
      <c r="U124" s="13">
        <v>9000</v>
      </c>
      <c r="V124" s="4">
        <v>2023</v>
      </c>
      <c r="W124" s="4">
        <v>202404</v>
      </c>
      <c r="X124" s="15">
        <f t="shared" si="3"/>
        <v>45412</v>
      </c>
      <c r="Y124" s="4" t="s">
        <v>361</v>
      </c>
      <c r="Z124" s="4" t="s">
        <v>362</v>
      </c>
    </row>
    <row r="125" spans="1:26" x14ac:dyDescent="0.2">
      <c r="A125" s="4" t="s">
        <v>415</v>
      </c>
      <c r="B125" s="8" t="s">
        <v>21</v>
      </c>
      <c r="C125" s="8" t="s">
        <v>37</v>
      </c>
      <c r="D125" s="8" t="s">
        <v>38</v>
      </c>
      <c r="E125" s="4" t="s">
        <v>39</v>
      </c>
      <c r="F125" s="4" t="s">
        <v>40</v>
      </c>
      <c r="G125" s="5">
        <v>27000</v>
      </c>
      <c r="H125" s="5" t="s">
        <v>41</v>
      </c>
      <c r="I125" s="5" t="s">
        <v>370</v>
      </c>
      <c r="J125" s="8" t="s">
        <v>541</v>
      </c>
      <c r="K125" s="8" t="s">
        <v>490</v>
      </c>
      <c r="L125" s="8" t="s">
        <v>371</v>
      </c>
      <c r="M125" s="8" t="s">
        <v>372</v>
      </c>
      <c r="N125" s="8" t="str">
        <f>IF(ISBLANK(Table1[[#This Row],[Dealer_Name]]), "UNKNOWN", Table1[[#This Row],[Dealer_Name]])</f>
        <v>chevy world</v>
      </c>
      <c r="O125" s="8" t="s">
        <v>68</v>
      </c>
      <c r="P125" s="8" t="s">
        <v>31</v>
      </c>
      <c r="Q125" s="10" t="s">
        <v>53</v>
      </c>
      <c r="R125" s="13" t="str">
        <f>IF(ISBLANK(Table1[[#This Row],[Engine_Size]]), "UNKNOWN",Table1[[#This Row],[Engine_Size]])</f>
        <v>1.5L</v>
      </c>
      <c r="S125" s="4" t="s">
        <v>33</v>
      </c>
      <c r="T125" s="8" t="str">
        <f>IF(ISBLANK(Table1[[#This Row],[Color]]), "UNKNOWN", Table1[[#This Row],[Color]])</f>
        <v>White</v>
      </c>
      <c r="U125" s="13">
        <v>20000</v>
      </c>
      <c r="V125" s="4">
        <v>2022</v>
      </c>
      <c r="W125" s="4">
        <v>202404</v>
      </c>
      <c r="X125" s="15">
        <f t="shared" si="3"/>
        <v>45412</v>
      </c>
      <c r="Y125" s="4" t="s">
        <v>361</v>
      </c>
      <c r="Z125" s="4" t="s">
        <v>362</v>
      </c>
    </row>
    <row r="126" spans="1:26" x14ac:dyDescent="0.2">
      <c r="A126" s="4" t="s">
        <v>416</v>
      </c>
      <c r="B126" s="8" t="s">
        <v>21</v>
      </c>
      <c r="C126" s="8" t="s">
        <v>37</v>
      </c>
      <c r="D126" s="8" t="s">
        <v>38</v>
      </c>
      <c r="E126" s="4" t="s">
        <v>39</v>
      </c>
      <c r="F126" s="4" t="s">
        <v>40</v>
      </c>
      <c r="G126" s="5">
        <v>27000</v>
      </c>
      <c r="H126" s="5" t="s">
        <v>41</v>
      </c>
      <c r="I126" s="5" t="s">
        <v>374</v>
      </c>
      <c r="J126" s="8" t="s">
        <v>542</v>
      </c>
      <c r="K126" s="8" t="s">
        <v>33</v>
      </c>
      <c r="L126" s="8" t="s">
        <v>237</v>
      </c>
      <c r="M126" s="8" t="s">
        <v>248</v>
      </c>
      <c r="N126" s="8" t="str">
        <f>IF(ISBLANK(Table1[[#This Row],[Dealer_Name]]), "UNKNOWN", Table1[[#This Row],[Dealer_Name]])</f>
        <v>BMW Elite</v>
      </c>
      <c r="O126" s="8" t="s">
        <v>52</v>
      </c>
      <c r="P126" s="8" t="s">
        <v>31</v>
      </c>
      <c r="Q126" s="10" t="s">
        <v>156</v>
      </c>
      <c r="R126" s="13" t="str">
        <f>IF(ISBLANK(Table1[[#This Row],[Engine_Size]]), "UNKNOWN",Table1[[#This Row],[Engine_Size]])</f>
        <v>2.0L</v>
      </c>
      <c r="S126" s="4" t="s">
        <v>46</v>
      </c>
      <c r="T126" s="8" t="str">
        <f>IF(ISBLANK(Table1[[#This Row],[Color]]), "UNKNOWN", Table1[[#This Row],[Color]])</f>
        <v>Black</v>
      </c>
      <c r="U126" s="13">
        <v>28000</v>
      </c>
      <c r="V126" s="4">
        <v>2020</v>
      </c>
      <c r="W126" s="4">
        <v>202405</v>
      </c>
      <c r="X126" s="15">
        <f t="shared" si="3"/>
        <v>45443</v>
      </c>
      <c r="Y126" s="4" t="s">
        <v>375</v>
      </c>
      <c r="Z126" s="4" t="s">
        <v>362</v>
      </c>
    </row>
    <row r="127" spans="1:26" x14ac:dyDescent="0.2">
      <c r="A127" s="4" t="s">
        <v>417</v>
      </c>
      <c r="B127" s="8" t="s">
        <v>21</v>
      </c>
      <c r="C127" s="8" t="s">
        <v>103</v>
      </c>
      <c r="D127" s="8" t="s">
        <v>90</v>
      </c>
      <c r="E127" s="4" t="s">
        <v>482</v>
      </c>
      <c r="F127" s="4" t="s">
        <v>25</v>
      </c>
      <c r="G127" s="5">
        <v>35800</v>
      </c>
      <c r="H127" s="5" t="s">
        <v>41</v>
      </c>
      <c r="I127" s="5" t="s">
        <v>377</v>
      </c>
      <c r="J127" s="8" t="s">
        <v>543</v>
      </c>
      <c r="K127" s="8" t="s">
        <v>484</v>
      </c>
      <c r="L127" s="8" t="s">
        <v>378</v>
      </c>
      <c r="M127" s="8" t="s">
        <v>29</v>
      </c>
      <c r="N127" s="8" t="str">
        <f>IF(ISBLANK(Table1[[#This Row],[Dealer_Name]]), "UNKNOWN", Table1[[#This Row],[Dealer_Name]])</f>
        <v>Toyota Center</v>
      </c>
      <c r="O127" s="8" t="s">
        <v>30</v>
      </c>
      <c r="P127" s="8" t="s">
        <v>31</v>
      </c>
      <c r="Q127" s="10" t="s">
        <v>60</v>
      </c>
      <c r="R127" s="13" t="str">
        <f>IF(ISBLANK(Table1[[#This Row],[Engine_Size]]), "UNKNOWN",Table1[[#This Row],[Engine_Size]])</f>
        <v>2.5L</v>
      </c>
      <c r="S127" s="4" t="s">
        <v>54</v>
      </c>
      <c r="T127" s="8" t="str">
        <f>IF(ISBLANK(Table1[[#This Row],[Color]]), "UNKNOWN", Table1[[#This Row],[Color]])</f>
        <v>Silver</v>
      </c>
      <c r="U127" s="13">
        <v>11000</v>
      </c>
      <c r="V127" s="4">
        <v>2023</v>
      </c>
      <c r="W127" s="4">
        <v>202405</v>
      </c>
      <c r="X127" s="15">
        <f t="shared" si="3"/>
        <v>45443</v>
      </c>
      <c r="Y127" s="4" t="s">
        <v>375</v>
      </c>
      <c r="Z127" s="4" t="s">
        <v>362</v>
      </c>
    </row>
    <row r="128" spans="1:26" x14ac:dyDescent="0.2">
      <c r="A128" s="4" t="s">
        <v>418</v>
      </c>
      <c r="B128" s="8" t="s">
        <v>21</v>
      </c>
      <c r="C128" s="8" t="s">
        <v>37</v>
      </c>
      <c r="D128" s="8" t="s">
        <v>38</v>
      </c>
      <c r="E128" s="4" t="s">
        <v>39</v>
      </c>
      <c r="F128" s="4" t="s">
        <v>40</v>
      </c>
      <c r="G128" s="5">
        <v>27000</v>
      </c>
      <c r="H128" s="5" t="s">
        <v>41</v>
      </c>
      <c r="I128" s="5" t="s">
        <v>380</v>
      </c>
      <c r="J128" s="8" t="s">
        <v>544</v>
      </c>
      <c r="K128" s="8" t="s">
        <v>487</v>
      </c>
      <c r="L128" s="8" t="s">
        <v>381</v>
      </c>
      <c r="M128" s="8" t="s">
        <v>382</v>
      </c>
      <c r="N128" s="8" t="str">
        <f>IF(ISBLANK(Table1[[#This Row],[Dealer_Name]]), "UNKNOWN", Table1[[#This Row],[Dealer_Name]])</f>
        <v>nissan direct</v>
      </c>
      <c r="O128" s="8" t="s">
        <v>85</v>
      </c>
      <c r="P128" s="8" t="s">
        <v>31</v>
      </c>
      <c r="Q128" s="10" t="s">
        <v>60</v>
      </c>
      <c r="R128" s="13" t="str">
        <f>IF(ISBLANK(Table1[[#This Row],[Engine_Size]]), "UNKNOWN",Table1[[#This Row],[Engine_Size]])</f>
        <v>2.5L</v>
      </c>
      <c r="S128" s="4" t="s">
        <v>61</v>
      </c>
      <c r="T128" s="8" t="str">
        <f>IF(ISBLANK(Table1[[#This Row],[Color]]), "UNKNOWN", Table1[[#This Row],[Color]])</f>
        <v>Blue</v>
      </c>
      <c r="U128" s="13">
        <v>24000</v>
      </c>
      <c r="V128" s="4">
        <v>2021</v>
      </c>
      <c r="W128" s="4">
        <v>202405</v>
      </c>
      <c r="X128" s="15">
        <f t="shared" si="3"/>
        <v>45443</v>
      </c>
      <c r="Y128" s="4" t="s">
        <v>375</v>
      </c>
      <c r="Z128" s="4" t="s">
        <v>362</v>
      </c>
    </row>
    <row r="129" spans="1:26" x14ac:dyDescent="0.2">
      <c r="A129" s="4" t="s">
        <v>419</v>
      </c>
      <c r="B129" s="8" t="s">
        <v>21</v>
      </c>
      <c r="C129" s="8" t="s">
        <v>103</v>
      </c>
      <c r="D129" s="8" t="s">
        <v>90</v>
      </c>
      <c r="E129" s="4" t="s">
        <v>482</v>
      </c>
      <c r="F129" s="4" t="s">
        <v>25</v>
      </c>
      <c r="G129" s="5">
        <v>32000</v>
      </c>
      <c r="H129" s="5" t="s">
        <v>41</v>
      </c>
      <c r="I129" s="5" t="s">
        <v>384</v>
      </c>
      <c r="J129" s="8" t="s">
        <v>478</v>
      </c>
      <c r="K129" s="8" t="s">
        <v>472</v>
      </c>
      <c r="L129" s="8" t="s">
        <v>385</v>
      </c>
      <c r="M129" s="8" t="s">
        <v>248</v>
      </c>
      <c r="N129" s="8" t="str">
        <f>IF(ISBLANK(Table1[[#This Row],[Dealer_Name]]), "UNKNOWN", Table1[[#This Row],[Dealer_Name]])</f>
        <v>BMW Elite</v>
      </c>
      <c r="O129" s="8" t="s">
        <v>52</v>
      </c>
      <c r="P129" s="8" t="s">
        <v>31</v>
      </c>
      <c r="Q129" s="10" t="s">
        <v>156</v>
      </c>
      <c r="R129" s="13" t="str">
        <f>IF(ISBLANK(Table1[[#This Row],[Engine_Size]]), "UNKNOWN",Table1[[#This Row],[Engine_Size]])</f>
        <v>2.0L</v>
      </c>
      <c r="S129" s="4" t="s">
        <v>54</v>
      </c>
      <c r="T129" s="8" t="str">
        <f>IF(ISBLANK(Table1[[#This Row],[Color]]), "UNKNOWN", Table1[[#This Row],[Color]])</f>
        <v>Silver</v>
      </c>
      <c r="U129" s="13">
        <v>21000</v>
      </c>
      <c r="V129" s="4">
        <v>2021</v>
      </c>
      <c r="W129" s="4">
        <v>202405</v>
      </c>
      <c r="X129" s="15">
        <f t="shared" si="3"/>
        <v>45443</v>
      </c>
      <c r="Y129" s="4" t="s">
        <v>375</v>
      </c>
      <c r="Z129" s="4" t="s">
        <v>362</v>
      </c>
    </row>
    <row r="130" spans="1:26" x14ac:dyDescent="0.2">
      <c r="A130" s="4" t="s">
        <v>420</v>
      </c>
      <c r="B130" s="8" t="s">
        <v>21</v>
      </c>
      <c r="C130" s="8" t="s">
        <v>110</v>
      </c>
      <c r="D130" s="8" t="s">
        <v>90</v>
      </c>
      <c r="E130" s="4" t="s">
        <v>91</v>
      </c>
      <c r="F130" s="4" t="s">
        <v>25</v>
      </c>
      <c r="G130" s="5">
        <v>44800</v>
      </c>
      <c r="H130" s="5" t="s">
        <v>92</v>
      </c>
      <c r="I130" s="5" t="s">
        <v>387</v>
      </c>
      <c r="J130" s="8" t="s">
        <v>545</v>
      </c>
      <c r="K130" s="8" t="s">
        <v>33</v>
      </c>
      <c r="L130" s="8" t="s">
        <v>388</v>
      </c>
      <c r="M130" s="8" t="s">
        <v>29</v>
      </c>
      <c r="N130" s="8" t="str">
        <f>IF(ISBLANK(Table1[[#This Row],[Dealer_Name]]), "UNKNOWN", Table1[[#This Row],[Dealer_Name]])</f>
        <v>Toyota Center</v>
      </c>
      <c r="O130" s="8" t="s">
        <v>30</v>
      </c>
      <c r="P130" s="8" t="s">
        <v>31</v>
      </c>
      <c r="Q130" s="10" t="s">
        <v>77</v>
      </c>
      <c r="R130" s="13" t="str">
        <f>IF(ISBLANK(Table1[[#This Row],[Engine_Size]]), "UNKNOWN",Table1[[#This Row],[Engine_Size]])</f>
        <v>3.5L</v>
      </c>
      <c r="S130" s="4" t="s">
        <v>101</v>
      </c>
      <c r="T130" s="8" t="str">
        <f>IF(ISBLANK(Table1[[#This Row],[Color]]), "UNKNOWN", Table1[[#This Row],[Color]])</f>
        <v>Gray</v>
      </c>
      <c r="U130" s="13">
        <v>18000</v>
      </c>
      <c r="V130" s="4">
        <v>2022</v>
      </c>
      <c r="W130" s="4">
        <v>202406</v>
      </c>
      <c r="X130" s="15">
        <f t="shared" ref="X130:X151" si="4">EOMONTH(DATE(LEFT(W130,4), RIGHT(W130,2), 1), 0)</f>
        <v>45473</v>
      </c>
      <c r="Y130" s="4" t="s">
        <v>389</v>
      </c>
      <c r="Z130" s="4" t="s">
        <v>362</v>
      </c>
    </row>
    <row r="131" spans="1:26" x14ac:dyDescent="0.2">
      <c r="A131" s="4" t="s">
        <v>421</v>
      </c>
      <c r="B131" s="8" t="s">
        <v>21</v>
      </c>
      <c r="C131" s="8" t="s">
        <v>110</v>
      </c>
      <c r="D131" s="8" t="s">
        <v>90</v>
      </c>
      <c r="E131" s="4" t="s">
        <v>482</v>
      </c>
      <c r="F131" s="4" t="s">
        <v>485</v>
      </c>
      <c r="G131" s="5">
        <v>43000</v>
      </c>
      <c r="H131" s="5" t="s">
        <v>92</v>
      </c>
      <c r="I131" s="5" t="s">
        <v>391</v>
      </c>
      <c r="J131" s="8" t="s">
        <v>546</v>
      </c>
      <c r="K131" s="8" t="s">
        <v>484</v>
      </c>
      <c r="L131" s="8" t="s">
        <v>392</v>
      </c>
      <c r="M131" s="8" t="s">
        <v>142</v>
      </c>
      <c r="N131" s="8" t="str">
        <f>IF(ISBLANK(Table1[[#This Row],[Dealer_Name]]), "UNKNOWN", Table1[[#This Row],[Dealer_Name]])</f>
        <v>Jeep Nation</v>
      </c>
      <c r="O131" s="8" t="s">
        <v>85</v>
      </c>
      <c r="P131" s="8" t="s">
        <v>31</v>
      </c>
      <c r="Q131" s="10" t="s">
        <v>45</v>
      </c>
      <c r="R131" s="13" t="str">
        <f>IF(ISBLANK(Table1[[#This Row],[Engine_Size]]), "UNKNOWN",Table1[[#This Row],[Engine_Size]])</f>
        <v>2.4L</v>
      </c>
      <c r="S131" s="4" t="s">
        <v>54</v>
      </c>
      <c r="T131" s="8" t="str">
        <f>IF(ISBLANK(Table1[[#This Row],[Color]]), "UNKNOWN", Table1[[#This Row],[Color]])</f>
        <v>Silver</v>
      </c>
      <c r="U131" s="13">
        <v>20000</v>
      </c>
      <c r="V131" s="4">
        <v>2021</v>
      </c>
      <c r="W131" s="4">
        <v>202406</v>
      </c>
      <c r="X131" s="15">
        <f t="shared" si="4"/>
        <v>45473</v>
      </c>
      <c r="Y131" s="4" t="s">
        <v>389</v>
      </c>
      <c r="Z131" s="4" t="s">
        <v>362</v>
      </c>
    </row>
    <row r="132" spans="1:26" x14ac:dyDescent="0.2">
      <c r="A132" s="4" t="s">
        <v>422</v>
      </c>
      <c r="B132" s="8" t="s">
        <v>21</v>
      </c>
      <c r="C132" s="8" t="s">
        <v>103</v>
      </c>
      <c r="D132" s="8" t="s">
        <v>90</v>
      </c>
      <c r="E132" s="4" t="s">
        <v>482</v>
      </c>
      <c r="F132" s="4" t="s">
        <v>25</v>
      </c>
      <c r="G132" s="5">
        <v>32000</v>
      </c>
      <c r="H132" s="5" t="s">
        <v>41</v>
      </c>
      <c r="I132" s="5" t="s">
        <v>394</v>
      </c>
      <c r="J132" s="8" t="s">
        <v>547</v>
      </c>
      <c r="K132" s="8" t="s">
        <v>468</v>
      </c>
      <c r="L132" s="8" t="s">
        <v>395</v>
      </c>
      <c r="M132" s="8" t="s">
        <v>248</v>
      </c>
      <c r="N132" s="8" t="str">
        <f>IF(ISBLANK(Table1[[#This Row],[Dealer_Name]]), "UNKNOWN", Table1[[#This Row],[Dealer_Name]])</f>
        <v>BMW Elite</v>
      </c>
      <c r="O132" s="8" t="s">
        <v>52</v>
      </c>
      <c r="P132" s="8" t="s">
        <v>31</v>
      </c>
      <c r="Q132" s="10" t="s">
        <v>156</v>
      </c>
      <c r="R132" s="13" t="str">
        <f>IF(ISBLANK(Table1[[#This Row],[Engine_Size]]), "UNKNOWN",Table1[[#This Row],[Engine_Size]])</f>
        <v>2.0L</v>
      </c>
      <c r="S132" s="4" t="s">
        <v>46</v>
      </c>
      <c r="T132" s="8" t="str">
        <f>IF(ISBLANK(Table1[[#This Row],[Color]]), "UNKNOWN", Table1[[#This Row],[Color]])</f>
        <v>Black</v>
      </c>
      <c r="U132" s="13">
        <v>15000</v>
      </c>
      <c r="V132" s="4">
        <v>2022</v>
      </c>
      <c r="W132" s="4">
        <v>202406</v>
      </c>
      <c r="X132" s="15">
        <f t="shared" si="4"/>
        <v>45473</v>
      </c>
      <c r="Y132" s="4" t="s">
        <v>389</v>
      </c>
      <c r="Z132" s="4" t="s">
        <v>362</v>
      </c>
    </row>
    <row r="133" spans="1:26" x14ac:dyDescent="0.2">
      <c r="A133" s="4" t="s">
        <v>423</v>
      </c>
      <c r="B133" s="8" t="s">
        <v>21</v>
      </c>
      <c r="C133" s="8" t="s">
        <v>397</v>
      </c>
      <c r="D133" s="8" t="s">
        <v>398</v>
      </c>
      <c r="E133" s="4" t="s">
        <v>399</v>
      </c>
      <c r="F133" s="4" t="s">
        <v>25</v>
      </c>
      <c r="G133" s="5">
        <v>33500</v>
      </c>
      <c r="H133" s="5" t="s">
        <v>41</v>
      </c>
      <c r="I133" s="5" t="s">
        <v>400</v>
      </c>
      <c r="J133" s="8" t="s">
        <v>548</v>
      </c>
      <c r="K133" s="8" t="s">
        <v>519</v>
      </c>
      <c r="L133" s="8" t="s">
        <v>401</v>
      </c>
      <c r="M133" s="8" t="s">
        <v>29</v>
      </c>
      <c r="N133" s="8" t="str">
        <f>IF(ISBLANK(Table1[[#This Row],[Dealer_Name]]), "UNKNOWN", Table1[[#This Row],[Dealer_Name]])</f>
        <v>Toyota Center</v>
      </c>
      <c r="O133" s="8" t="s">
        <v>30</v>
      </c>
      <c r="P133" s="8" t="s">
        <v>31</v>
      </c>
      <c r="Q133" s="10" t="s">
        <v>133</v>
      </c>
      <c r="R133" s="13" t="str">
        <f>IF(ISBLANK(Table1[[#This Row],[Engine_Size]]), "UNKNOWN",Table1[[#This Row],[Engine_Size]])</f>
        <v>2.7L</v>
      </c>
      <c r="S133" s="4" t="s">
        <v>101</v>
      </c>
      <c r="T133" s="8" t="str">
        <f>IF(ISBLANK(Table1[[#This Row],[Color]]), "UNKNOWN", Table1[[#This Row],[Color]])</f>
        <v>Gray</v>
      </c>
      <c r="U133" s="13">
        <v>21000</v>
      </c>
      <c r="V133" s="4">
        <v>2020</v>
      </c>
      <c r="W133" s="4">
        <v>202406</v>
      </c>
      <c r="X133" s="15">
        <f t="shared" si="4"/>
        <v>45473</v>
      </c>
      <c r="Y133" s="4" t="s">
        <v>389</v>
      </c>
      <c r="Z133" s="4" t="s">
        <v>362</v>
      </c>
    </row>
    <row r="134" spans="1:26" x14ac:dyDescent="0.2">
      <c r="A134" s="4" t="s">
        <v>424</v>
      </c>
      <c r="B134" s="8" t="s">
        <v>21</v>
      </c>
      <c r="C134" s="8" t="s">
        <v>110</v>
      </c>
      <c r="D134" s="8" t="s">
        <v>90</v>
      </c>
      <c r="E134" s="4" t="s">
        <v>482</v>
      </c>
      <c r="F134" s="4" t="s">
        <v>485</v>
      </c>
      <c r="G134" s="5">
        <v>43000</v>
      </c>
      <c r="H134" s="5" t="s">
        <v>92</v>
      </c>
      <c r="I134" s="5" t="s">
        <v>403</v>
      </c>
      <c r="J134" s="8" t="s">
        <v>549</v>
      </c>
      <c r="K134" s="8" t="s">
        <v>33</v>
      </c>
      <c r="L134" s="8" t="s">
        <v>404</v>
      </c>
      <c r="M134" s="8" t="s">
        <v>165</v>
      </c>
      <c r="N134" s="8" t="str">
        <f>IF(ISBLANK(Table1[[#This Row],[Dealer_Name]]), "UNKNOWN", Table1[[#This Row],[Dealer_Name]])</f>
        <v>Tesla Direct</v>
      </c>
      <c r="O134" s="8" t="s">
        <v>30</v>
      </c>
      <c r="P134" s="8" t="s">
        <v>166</v>
      </c>
      <c r="R134" s="14" t="str">
        <f>IF(ISBLANK(Table1[[#This Row],[Engine_Size]]), "UNKNOWN",Table1[[#This Row],[Engine_Size]])</f>
        <v>UNKNOWN</v>
      </c>
      <c r="S134" s="4" t="s">
        <v>54</v>
      </c>
      <c r="T134" s="8" t="str">
        <f>IF(ISBLANK(Table1[[#This Row],[Color]]), "UNKNOWN", Table1[[#This Row],[Color]])</f>
        <v>Silver</v>
      </c>
      <c r="U134" s="13">
        <v>1000</v>
      </c>
      <c r="V134" s="4">
        <v>2024</v>
      </c>
      <c r="W134" s="4">
        <v>202406</v>
      </c>
      <c r="X134" s="15">
        <f t="shared" si="4"/>
        <v>45473</v>
      </c>
      <c r="Y134" s="4" t="s">
        <v>389</v>
      </c>
      <c r="Z134" s="4" t="s">
        <v>362</v>
      </c>
    </row>
    <row r="135" spans="1:26" x14ac:dyDescent="0.2">
      <c r="A135" s="4" t="s">
        <v>425</v>
      </c>
      <c r="B135" s="8" t="s">
        <v>207</v>
      </c>
      <c r="C135" s="8" t="s">
        <v>406</v>
      </c>
      <c r="D135" s="8" t="s">
        <v>23</v>
      </c>
      <c r="E135" s="4" t="s">
        <v>73</v>
      </c>
      <c r="F135" s="4" t="s">
        <v>25</v>
      </c>
      <c r="G135" s="5">
        <v>29800</v>
      </c>
      <c r="H135" s="5" t="s">
        <v>41</v>
      </c>
      <c r="I135" s="5" t="s">
        <v>407</v>
      </c>
      <c r="J135" s="8" t="s">
        <v>486</v>
      </c>
      <c r="K135" s="8" t="s">
        <v>479</v>
      </c>
      <c r="L135" s="8" t="s">
        <v>408</v>
      </c>
      <c r="M135" s="8" t="s">
        <v>147</v>
      </c>
      <c r="N135" s="8" t="str">
        <f>IF(ISBLANK(Table1[[#This Row],[Dealer_Name]]), "UNKNOWN", Table1[[#This Row],[Dealer_Name]])</f>
        <v>Metro Honda</v>
      </c>
      <c r="O135" s="8" t="s">
        <v>52</v>
      </c>
      <c r="P135" s="8" t="s">
        <v>31</v>
      </c>
      <c r="Q135" s="10" t="s">
        <v>53</v>
      </c>
      <c r="R135" s="13" t="str">
        <f>IF(ISBLANK(Table1[[#This Row],[Engine_Size]]), "UNKNOWN",Table1[[#This Row],[Engine_Size]])</f>
        <v>1.5L</v>
      </c>
      <c r="S135" s="4" t="s">
        <v>46</v>
      </c>
      <c r="T135" s="8" t="str">
        <f>IF(ISBLANK(Table1[[#This Row],[Color]]), "UNKNOWN", Table1[[#This Row],[Color]])</f>
        <v>Black</v>
      </c>
      <c r="U135" s="13">
        <v>22000</v>
      </c>
      <c r="V135" s="4">
        <v>2021</v>
      </c>
      <c r="W135" s="4">
        <v>202404</v>
      </c>
      <c r="X135" s="15">
        <f t="shared" si="4"/>
        <v>45412</v>
      </c>
      <c r="Y135" s="4" t="s">
        <v>361</v>
      </c>
      <c r="Z135" s="4" t="s">
        <v>362</v>
      </c>
    </row>
    <row r="136" spans="1:26" x14ac:dyDescent="0.2">
      <c r="A136" s="4" t="s">
        <v>426</v>
      </c>
      <c r="B136" s="8" t="s">
        <v>227</v>
      </c>
      <c r="C136" s="8" t="s">
        <v>410</v>
      </c>
      <c r="D136" s="8" t="s">
        <v>90</v>
      </c>
      <c r="E136" s="4" t="s">
        <v>91</v>
      </c>
      <c r="F136" s="4" t="s">
        <v>485</v>
      </c>
      <c r="G136" s="5">
        <v>10435</v>
      </c>
      <c r="H136" s="5" t="s">
        <v>92</v>
      </c>
      <c r="I136" s="5" t="s">
        <v>411</v>
      </c>
      <c r="J136" s="8" t="s">
        <v>550</v>
      </c>
      <c r="K136" s="8" t="s">
        <v>475</v>
      </c>
      <c r="L136" s="8" t="s">
        <v>66</v>
      </c>
      <c r="M136" s="8" t="s">
        <v>165</v>
      </c>
      <c r="N136" s="8" t="str">
        <f>IF(ISBLANK(Table1[[#This Row],[Dealer_Name]]), "UNKNOWN", Table1[[#This Row],[Dealer_Name]])</f>
        <v>Tesla Direct</v>
      </c>
      <c r="O136" s="8" t="s">
        <v>30</v>
      </c>
      <c r="P136" s="8" t="s">
        <v>166</v>
      </c>
      <c r="R136" s="14" t="str">
        <f>IF(ISBLANK(Table1[[#This Row],[Engine_Size]]), "UNKNOWN",Table1[[#This Row],[Engine_Size]])</f>
        <v>UNKNOWN</v>
      </c>
      <c r="S136" s="4" t="s">
        <v>101</v>
      </c>
      <c r="T136" s="8" t="str">
        <f>IF(ISBLANK(Table1[[#This Row],[Color]]), "UNKNOWN", Table1[[#This Row],[Color]])</f>
        <v>Gray</v>
      </c>
      <c r="U136" s="13">
        <v>6000</v>
      </c>
      <c r="V136" s="4">
        <v>2024</v>
      </c>
      <c r="W136" s="4">
        <v>202405</v>
      </c>
      <c r="X136" s="15">
        <f t="shared" si="4"/>
        <v>45443</v>
      </c>
      <c r="Y136" s="4" t="s">
        <v>375</v>
      </c>
      <c r="Z136" s="4" t="s">
        <v>362</v>
      </c>
    </row>
    <row r="137" spans="1:26" x14ac:dyDescent="0.2">
      <c r="A137" s="4" t="s">
        <v>427</v>
      </c>
      <c r="B137" s="8" t="s">
        <v>21</v>
      </c>
      <c r="C137" s="8" t="s">
        <v>37</v>
      </c>
      <c r="D137" s="8" t="s">
        <v>38</v>
      </c>
      <c r="E137" s="4" t="s">
        <v>39</v>
      </c>
      <c r="F137" s="4" t="s">
        <v>40</v>
      </c>
      <c r="G137" s="5">
        <v>27000</v>
      </c>
      <c r="H137" s="5" t="s">
        <v>41</v>
      </c>
      <c r="I137" s="5" t="s">
        <v>359</v>
      </c>
      <c r="J137" s="8" t="s">
        <v>538</v>
      </c>
      <c r="K137" s="8" t="s">
        <v>484</v>
      </c>
      <c r="L137" s="8" t="s">
        <v>360</v>
      </c>
      <c r="M137" s="8" t="s">
        <v>248</v>
      </c>
      <c r="N137" s="8" t="str">
        <f>IF(ISBLANK(Table1[[#This Row],[Dealer_Name]]), "UNKNOWN", Table1[[#This Row],[Dealer_Name]])</f>
        <v>BMW Elite</v>
      </c>
      <c r="O137" s="8" t="s">
        <v>52</v>
      </c>
      <c r="P137" s="8" t="s">
        <v>31</v>
      </c>
      <c r="Q137" s="10" t="s">
        <v>190</v>
      </c>
      <c r="R137" s="13" t="str">
        <f>IF(ISBLANK(Table1[[#This Row],[Engine_Size]]), "UNKNOWN",Table1[[#This Row],[Engine_Size]])</f>
        <v>3.0L</v>
      </c>
      <c r="S137" s="4" t="s">
        <v>101</v>
      </c>
      <c r="T137" s="8" t="str">
        <f>IF(ISBLANK(Table1[[#This Row],[Color]]), "UNKNOWN", Table1[[#This Row],[Color]])</f>
        <v>Gray</v>
      </c>
      <c r="U137" s="13">
        <v>32000</v>
      </c>
      <c r="V137" s="4">
        <v>2020</v>
      </c>
      <c r="W137" s="4">
        <v>202404</v>
      </c>
      <c r="X137" s="15">
        <f t="shared" si="4"/>
        <v>45412</v>
      </c>
      <c r="Y137" s="4" t="s">
        <v>361</v>
      </c>
      <c r="Z137" s="4" t="s">
        <v>362</v>
      </c>
    </row>
    <row r="138" spans="1:26" x14ac:dyDescent="0.2">
      <c r="A138" s="4" t="s">
        <v>428</v>
      </c>
      <c r="B138" s="8" t="s">
        <v>21</v>
      </c>
      <c r="C138" s="8" t="s">
        <v>37</v>
      </c>
      <c r="D138" s="8" t="s">
        <v>38</v>
      </c>
      <c r="E138" s="4" t="s">
        <v>39</v>
      </c>
      <c r="F138" s="4" t="s">
        <v>40</v>
      </c>
      <c r="G138" s="5">
        <v>27000</v>
      </c>
      <c r="H138" s="5" t="s">
        <v>41</v>
      </c>
      <c r="I138" s="5" t="s">
        <v>364</v>
      </c>
      <c r="J138" s="8" t="s">
        <v>539</v>
      </c>
      <c r="K138" s="8" t="s">
        <v>487</v>
      </c>
      <c r="L138" s="8" t="s">
        <v>365</v>
      </c>
      <c r="M138" s="8" t="s">
        <v>165</v>
      </c>
      <c r="N138" s="8" t="str">
        <f>IF(ISBLANK(Table1[[#This Row],[Dealer_Name]]), "UNKNOWN", Table1[[#This Row],[Dealer_Name]])</f>
        <v>Tesla Direct</v>
      </c>
      <c r="O138" s="8" t="s">
        <v>30</v>
      </c>
      <c r="P138" s="8" t="s">
        <v>166</v>
      </c>
      <c r="R138" s="14" t="str">
        <f>IF(ISBLANK(Table1[[#This Row],[Engine_Size]]), "UNKNOWN",Table1[[#This Row],[Engine_Size]])</f>
        <v>UNKNOWN</v>
      </c>
      <c r="S138" s="4" t="s">
        <v>33</v>
      </c>
      <c r="T138" s="8" t="str">
        <f>IF(ISBLANK(Table1[[#This Row],[Color]]), "UNKNOWN", Table1[[#This Row],[Color]])</f>
        <v>White</v>
      </c>
      <c r="U138" s="13">
        <v>12000</v>
      </c>
      <c r="V138" s="4">
        <v>2023</v>
      </c>
      <c r="W138" s="4">
        <v>202404</v>
      </c>
      <c r="X138" s="15">
        <f t="shared" si="4"/>
        <v>45412</v>
      </c>
      <c r="Y138" s="4" t="s">
        <v>361</v>
      </c>
      <c r="Z138" s="4" t="s">
        <v>362</v>
      </c>
    </row>
    <row r="139" spans="1:26" x14ac:dyDescent="0.2">
      <c r="A139" s="4" t="s">
        <v>429</v>
      </c>
      <c r="B139" s="8" t="s">
        <v>21</v>
      </c>
      <c r="C139" s="8" t="s">
        <v>37</v>
      </c>
      <c r="D139" s="8" t="s">
        <v>23</v>
      </c>
      <c r="E139" s="4" t="s">
        <v>73</v>
      </c>
      <c r="F139" s="4" t="s">
        <v>25</v>
      </c>
      <c r="G139" s="5">
        <v>29500</v>
      </c>
      <c r="H139" s="5" t="s">
        <v>41</v>
      </c>
      <c r="I139" s="5" t="s">
        <v>367</v>
      </c>
      <c r="J139" s="8" t="s">
        <v>540</v>
      </c>
      <c r="K139" s="8" t="s">
        <v>468</v>
      </c>
      <c r="L139" s="8" t="s">
        <v>368</v>
      </c>
      <c r="M139" s="8" t="s">
        <v>76</v>
      </c>
      <c r="N139" s="8" t="str">
        <f>IF(ISBLANK(Table1[[#This Row],[Dealer_Name]]), "UNKNOWN", Table1[[#This Row],[Dealer_Name]])</f>
        <v>toyota center</v>
      </c>
      <c r="O139" s="8" t="s">
        <v>30</v>
      </c>
      <c r="P139" s="8" t="s">
        <v>39</v>
      </c>
      <c r="Q139" s="10" t="s">
        <v>32</v>
      </c>
      <c r="R139" s="13" t="str">
        <f>IF(ISBLANK(Table1[[#This Row],[Engine_Size]]), "UNKNOWN",Table1[[#This Row],[Engine_Size]])</f>
        <v>1.8L</v>
      </c>
      <c r="S139" s="4" t="s">
        <v>61</v>
      </c>
      <c r="T139" s="8" t="str">
        <f>IF(ISBLANK(Table1[[#This Row],[Color]]), "UNKNOWN", Table1[[#This Row],[Color]])</f>
        <v>Blue</v>
      </c>
      <c r="U139" s="13">
        <v>9000</v>
      </c>
      <c r="V139" s="4">
        <v>2023</v>
      </c>
      <c r="W139" s="4">
        <v>202404</v>
      </c>
      <c r="X139" s="15">
        <f t="shared" si="4"/>
        <v>45412</v>
      </c>
      <c r="Y139" s="4" t="s">
        <v>361</v>
      </c>
      <c r="Z139" s="4" t="s">
        <v>362</v>
      </c>
    </row>
    <row r="140" spans="1:26" x14ac:dyDescent="0.2">
      <c r="A140" s="4" t="s">
        <v>430</v>
      </c>
      <c r="B140" s="8" t="s">
        <v>21</v>
      </c>
      <c r="C140" s="8" t="s">
        <v>37</v>
      </c>
      <c r="D140" s="8" t="s">
        <v>38</v>
      </c>
      <c r="E140" s="4" t="s">
        <v>39</v>
      </c>
      <c r="F140" s="4" t="s">
        <v>40</v>
      </c>
      <c r="G140" s="5">
        <v>27000</v>
      </c>
      <c r="H140" s="5" t="s">
        <v>41</v>
      </c>
      <c r="I140" s="5" t="s">
        <v>370</v>
      </c>
      <c r="J140" s="8" t="s">
        <v>541</v>
      </c>
      <c r="K140" s="8" t="s">
        <v>490</v>
      </c>
      <c r="L140" s="8" t="s">
        <v>371</v>
      </c>
      <c r="M140" s="8" t="s">
        <v>372</v>
      </c>
      <c r="N140" s="8" t="str">
        <f>IF(ISBLANK(Table1[[#This Row],[Dealer_Name]]), "UNKNOWN", Table1[[#This Row],[Dealer_Name]])</f>
        <v>chevy world</v>
      </c>
      <c r="O140" s="8" t="s">
        <v>68</v>
      </c>
      <c r="P140" s="8" t="s">
        <v>31</v>
      </c>
      <c r="Q140" s="10" t="s">
        <v>53</v>
      </c>
      <c r="R140" s="13" t="str">
        <f>IF(ISBLANK(Table1[[#This Row],[Engine_Size]]), "UNKNOWN",Table1[[#This Row],[Engine_Size]])</f>
        <v>1.5L</v>
      </c>
      <c r="S140" s="4" t="s">
        <v>33</v>
      </c>
      <c r="T140" s="8" t="str">
        <f>IF(ISBLANK(Table1[[#This Row],[Color]]), "UNKNOWN", Table1[[#This Row],[Color]])</f>
        <v>White</v>
      </c>
      <c r="U140" s="13">
        <v>20000</v>
      </c>
      <c r="V140" s="4">
        <v>2022</v>
      </c>
      <c r="W140" s="4">
        <v>202404</v>
      </c>
      <c r="X140" s="15">
        <f t="shared" si="4"/>
        <v>45412</v>
      </c>
      <c r="Y140" s="4" t="s">
        <v>361</v>
      </c>
      <c r="Z140" s="4" t="s">
        <v>362</v>
      </c>
    </row>
    <row r="141" spans="1:26" x14ac:dyDescent="0.2">
      <c r="A141" s="4" t="s">
        <v>431</v>
      </c>
      <c r="B141" s="8" t="s">
        <v>21</v>
      </c>
      <c r="C141" s="8" t="s">
        <v>37</v>
      </c>
      <c r="D141" s="8" t="s">
        <v>38</v>
      </c>
      <c r="E141" s="4" t="s">
        <v>39</v>
      </c>
      <c r="F141" s="4" t="s">
        <v>40</v>
      </c>
      <c r="G141" s="5">
        <v>27000</v>
      </c>
      <c r="H141" s="5" t="s">
        <v>41</v>
      </c>
      <c r="I141" s="5" t="s">
        <v>374</v>
      </c>
      <c r="J141" s="8" t="s">
        <v>542</v>
      </c>
      <c r="K141" s="8" t="s">
        <v>33</v>
      </c>
      <c r="L141" s="8" t="s">
        <v>237</v>
      </c>
      <c r="M141" s="8" t="s">
        <v>248</v>
      </c>
      <c r="N141" s="8" t="str">
        <f>IF(ISBLANK(Table1[[#This Row],[Dealer_Name]]), "UNKNOWN", Table1[[#This Row],[Dealer_Name]])</f>
        <v>BMW Elite</v>
      </c>
      <c r="O141" s="8" t="s">
        <v>52</v>
      </c>
      <c r="P141" s="8" t="s">
        <v>31</v>
      </c>
      <c r="Q141" s="10" t="s">
        <v>156</v>
      </c>
      <c r="R141" s="13" t="str">
        <f>IF(ISBLANK(Table1[[#This Row],[Engine_Size]]), "UNKNOWN",Table1[[#This Row],[Engine_Size]])</f>
        <v>2.0L</v>
      </c>
      <c r="S141" s="4" t="s">
        <v>46</v>
      </c>
      <c r="T141" s="8" t="str">
        <f>IF(ISBLANK(Table1[[#This Row],[Color]]), "UNKNOWN", Table1[[#This Row],[Color]])</f>
        <v>Black</v>
      </c>
      <c r="U141" s="13">
        <v>28000</v>
      </c>
      <c r="V141" s="4">
        <v>2020</v>
      </c>
      <c r="W141" s="4">
        <v>202405</v>
      </c>
      <c r="X141" s="15">
        <f t="shared" si="4"/>
        <v>45443</v>
      </c>
      <c r="Y141" s="4" t="s">
        <v>375</v>
      </c>
      <c r="Z141" s="4" t="s">
        <v>362</v>
      </c>
    </row>
    <row r="142" spans="1:26" x14ac:dyDescent="0.2">
      <c r="A142" s="4" t="s">
        <v>432</v>
      </c>
      <c r="B142" s="8" t="s">
        <v>21</v>
      </c>
      <c r="C142" s="8" t="s">
        <v>103</v>
      </c>
      <c r="D142" s="8" t="s">
        <v>90</v>
      </c>
      <c r="E142" s="4" t="s">
        <v>482</v>
      </c>
      <c r="F142" s="4" t="s">
        <v>25</v>
      </c>
      <c r="G142" s="5">
        <v>35800</v>
      </c>
      <c r="H142" s="5" t="s">
        <v>41</v>
      </c>
      <c r="I142" s="5" t="s">
        <v>377</v>
      </c>
      <c r="J142" s="8" t="s">
        <v>543</v>
      </c>
      <c r="K142" s="8" t="s">
        <v>484</v>
      </c>
      <c r="L142" s="8" t="s">
        <v>378</v>
      </c>
      <c r="M142" s="8" t="s">
        <v>29</v>
      </c>
      <c r="N142" s="8" t="str">
        <f>IF(ISBLANK(Table1[[#This Row],[Dealer_Name]]), "UNKNOWN", Table1[[#This Row],[Dealer_Name]])</f>
        <v>Toyota Center</v>
      </c>
      <c r="O142" s="8" t="s">
        <v>30</v>
      </c>
      <c r="P142" s="8" t="s">
        <v>31</v>
      </c>
      <c r="Q142" s="10" t="s">
        <v>60</v>
      </c>
      <c r="R142" s="13" t="str">
        <f>IF(ISBLANK(Table1[[#This Row],[Engine_Size]]), "UNKNOWN",Table1[[#This Row],[Engine_Size]])</f>
        <v>2.5L</v>
      </c>
      <c r="S142" s="4" t="s">
        <v>54</v>
      </c>
      <c r="T142" s="8" t="str">
        <f>IF(ISBLANK(Table1[[#This Row],[Color]]), "UNKNOWN", Table1[[#This Row],[Color]])</f>
        <v>Silver</v>
      </c>
      <c r="U142" s="13">
        <v>11000</v>
      </c>
      <c r="V142" s="4">
        <v>2023</v>
      </c>
      <c r="W142" s="4">
        <v>202405</v>
      </c>
      <c r="X142" s="15">
        <f t="shared" si="4"/>
        <v>45443</v>
      </c>
      <c r="Y142" s="4" t="s">
        <v>375</v>
      </c>
      <c r="Z142" s="4" t="s">
        <v>362</v>
      </c>
    </row>
    <row r="143" spans="1:26" x14ac:dyDescent="0.2">
      <c r="A143" s="4" t="s">
        <v>433</v>
      </c>
      <c r="B143" s="8" t="s">
        <v>21</v>
      </c>
      <c r="C143" s="8" t="s">
        <v>37</v>
      </c>
      <c r="D143" s="8" t="s">
        <v>38</v>
      </c>
      <c r="E143" s="4" t="s">
        <v>39</v>
      </c>
      <c r="F143" s="4" t="s">
        <v>40</v>
      </c>
      <c r="G143" s="5">
        <v>27000</v>
      </c>
      <c r="H143" s="5" t="s">
        <v>41</v>
      </c>
      <c r="I143" s="5" t="s">
        <v>380</v>
      </c>
      <c r="J143" s="8" t="s">
        <v>544</v>
      </c>
      <c r="K143" s="8" t="s">
        <v>487</v>
      </c>
      <c r="L143" s="8" t="s">
        <v>381</v>
      </c>
      <c r="M143" s="8" t="s">
        <v>382</v>
      </c>
      <c r="N143" s="8" t="str">
        <f>IF(ISBLANK(Table1[[#This Row],[Dealer_Name]]), "UNKNOWN", Table1[[#This Row],[Dealer_Name]])</f>
        <v>nissan direct</v>
      </c>
      <c r="O143" s="8" t="s">
        <v>85</v>
      </c>
      <c r="P143" s="8" t="s">
        <v>31</v>
      </c>
      <c r="Q143" s="10" t="s">
        <v>60</v>
      </c>
      <c r="R143" s="13" t="str">
        <f>IF(ISBLANK(Table1[[#This Row],[Engine_Size]]), "UNKNOWN",Table1[[#This Row],[Engine_Size]])</f>
        <v>2.5L</v>
      </c>
      <c r="S143" s="4" t="s">
        <v>61</v>
      </c>
      <c r="T143" s="8" t="str">
        <f>IF(ISBLANK(Table1[[#This Row],[Color]]), "UNKNOWN", Table1[[#This Row],[Color]])</f>
        <v>Blue</v>
      </c>
      <c r="U143" s="13">
        <v>24000</v>
      </c>
      <c r="V143" s="4">
        <v>2021</v>
      </c>
      <c r="W143" s="4">
        <v>202405</v>
      </c>
      <c r="X143" s="15">
        <f t="shared" si="4"/>
        <v>45443</v>
      </c>
      <c r="Y143" s="4" t="s">
        <v>375</v>
      </c>
      <c r="Z143" s="4" t="s">
        <v>362</v>
      </c>
    </row>
    <row r="144" spans="1:26" x14ac:dyDescent="0.2">
      <c r="A144" s="4" t="s">
        <v>434</v>
      </c>
      <c r="B144" s="8" t="s">
        <v>21</v>
      </c>
      <c r="C144" s="8" t="s">
        <v>103</v>
      </c>
      <c r="D144" s="8" t="s">
        <v>90</v>
      </c>
      <c r="E144" s="4" t="s">
        <v>482</v>
      </c>
      <c r="F144" s="4" t="s">
        <v>25</v>
      </c>
      <c r="G144" s="5">
        <v>32000</v>
      </c>
      <c r="H144" s="5" t="s">
        <v>41</v>
      </c>
      <c r="I144" s="5" t="s">
        <v>384</v>
      </c>
      <c r="J144" s="8" t="s">
        <v>478</v>
      </c>
      <c r="K144" s="8" t="s">
        <v>472</v>
      </c>
      <c r="L144" s="8" t="s">
        <v>385</v>
      </c>
      <c r="M144" s="8" t="s">
        <v>248</v>
      </c>
      <c r="N144" s="8" t="str">
        <f>IF(ISBLANK(Table1[[#This Row],[Dealer_Name]]), "UNKNOWN", Table1[[#This Row],[Dealer_Name]])</f>
        <v>BMW Elite</v>
      </c>
      <c r="O144" s="8" t="s">
        <v>52</v>
      </c>
      <c r="P144" s="8" t="s">
        <v>31</v>
      </c>
      <c r="Q144" s="10" t="s">
        <v>156</v>
      </c>
      <c r="R144" s="13" t="str">
        <f>IF(ISBLANK(Table1[[#This Row],[Engine_Size]]), "UNKNOWN",Table1[[#This Row],[Engine_Size]])</f>
        <v>2.0L</v>
      </c>
      <c r="S144" s="4" t="s">
        <v>54</v>
      </c>
      <c r="T144" s="8" t="str">
        <f>IF(ISBLANK(Table1[[#This Row],[Color]]), "UNKNOWN", Table1[[#This Row],[Color]])</f>
        <v>Silver</v>
      </c>
      <c r="U144" s="13">
        <v>21000</v>
      </c>
      <c r="V144" s="4">
        <v>2021</v>
      </c>
      <c r="W144" s="4">
        <v>202405</v>
      </c>
      <c r="X144" s="15">
        <f t="shared" si="4"/>
        <v>45443</v>
      </c>
      <c r="Y144" s="4" t="s">
        <v>375</v>
      </c>
      <c r="Z144" s="4" t="s">
        <v>362</v>
      </c>
    </row>
    <row r="145" spans="1:26" x14ac:dyDescent="0.2">
      <c r="A145" s="4" t="s">
        <v>435</v>
      </c>
      <c r="B145" s="8" t="s">
        <v>21</v>
      </c>
      <c r="C145" s="8" t="s">
        <v>110</v>
      </c>
      <c r="D145" s="8" t="s">
        <v>90</v>
      </c>
      <c r="E145" s="4" t="s">
        <v>91</v>
      </c>
      <c r="F145" s="4" t="s">
        <v>25</v>
      </c>
      <c r="G145" s="5">
        <v>44800</v>
      </c>
      <c r="H145" s="5" t="s">
        <v>92</v>
      </c>
      <c r="I145" s="5" t="s">
        <v>387</v>
      </c>
      <c r="J145" s="8" t="s">
        <v>545</v>
      </c>
      <c r="K145" s="8" t="s">
        <v>33</v>
      </c>
      <c r="L145" s="8" t="s">
        <v>388</v>
      </c>
      <c r="M145" s="8" t="s">
        <v>29</v>
      </c>
      <c r="N145" s="8" t="str">
        <f>IF(ISBLANK(Table1[[#This Row],[Dealer_Name]]), "UNKNOWN", Table1[[#This Row],[Dealer_Name]])</f>
        <v>Toyota Center</v>
      </c>
      <c r="O145" s="8" t="s">
        <v>30</v>
      </c>
      <c r="P145" s="8" t="s">
        <v>31</v>
      </c>
      <c r="Q145" s="10" t="s">
        <v>77</v>
      </c>
      <c r="R145" s="13" t="str">
        <f>IF(ISBLANK(Table1[[#This Row],[Engine_Size]]), "UNKNOWN",Table1[[#This Row],[Engine_Size]])</f>
        <v>3.5L</v>
      </c>
      <c r="S145" s="4" t="s">
        <v>101</v>
      </c>
      <c r="T145" s="8" t="str">
        <f>IF(ISBLANK(Table1[[#This Row],[Color]]), "UNKNOWN", Table1[[#This Row],[Color]])</f>
        <v>Gray</v>
      </c>
      <c r="U145" s="13">
        <v>18000</v>
      </c>
      <c r="V145" s="4">
        <v>2022</v>
      </c>
      <c r="W145" s="4">
        <v>202406</v>
      </c>
      <c r="X145" s="15">
        <f t="shared" si="4"/>
        <v>45473</v>
      </c>
      <c r="Y145" s="4" t="s">
        <v>389</v>
      </c>
      <c r="Z145" s="4" t="s">
        <v>362</v>
      </c>
    </row>
    <row r="146" spans="1:26" x14ac:dyDescent="0.2">
      <c r="A146" s="4" t="s">
        <v>436</v>
      </c>
      <c r="B146" s="8" t="s">
        <v>21</v>
      </c>
      <c r="C146" s="8" t="s">
        <v>110</v>
      </c>
      <c r="D146" s="8" t="s">
        <v>90</v>
      </c>
      <c r="E146" s="4" t="s">
        <v>482</v>
      </c>
      <c r="F146" s="4" t="s">
        <v>485</v>
      </c>
      <c r="G146" s="5">
        <v>43000</v>
      </c>
      <c r="H146" s="5" t="s">
        <v>92</v>
      </c>
      <c r="I146" s="5" t="s">
        <v>391</v>
      </c>
      <c r="J146" s="8" t="s">
        <v>546</v>
      </c>
      <c r="K146" s="8" t="s">
        <v>484</v>
      </c>
      <c r="L146" s="8" t="s">
        <v>392</v>
      </c>
      <c r="M146" s="8" t="s">
        <v>142</v>
      </c>
      <c r="N146" s="8" t="str">
        <f>IF(ISBLANK(Table1[[#This Row],[Dealer_Name]]), "UNKNOWN", Table1[[#This Row],[Dealer_Name]])</f>
        <v>Jeep Nation</v>
      </c>
      <c r="O146" s="8" t="s">
        <v>85</v>
      </c>
      <c r="P146" s="8" t="s">
        <v>31</v>
      </c>
      <c r="Q146" s="10" t="s">
        <v>45</v>
      </c>
      <c r="R146" s="13" t="str">
        <f>IF(ISBLANK(Table1[[#This Row],[Engine_Size]]), "UNKNOWN",Table1[[#This Row],[Engine_Size]])</f>
        <v>2.4L</v>
      </c>
      <c r="S146" s="4" t="s">
        <v>54</v>
      </c>
      <c r="T146" s="8" t="str">
        <f>IF(ISBLANK(Table1[[#This Row],[Color]]), "UNKNOWN", Table1[[#This Row],[Color]])</f>
        <v>Silver</v>
      </c>
      <c r="U146" s="13">
        <v>20000</v>
      </c>
      <c r="V146" s="4">
        <v>2021</v>
      </c>
      <c r="W146" s="4">
        <v>202406</v>
      </c>
      <c r="X146" s="15">
        <f t="shared" si="4"/>
        <v>45473</v>
      </c>
      <c r="Y146" s="4" t="s">
        <v>389</v>
      </c>
      <c r="Z146" s="4" t="s">
        <v>362</v>
      </c>
    </row>
    <row r="147" spans="1:26" x14ac:dyDescent="0.2">
      <c r="A147" s="4" t="s">
        <v>437</v>
      </c>
      <c r="B147" s="8" t="s">
        <v>21</v>
      </c>
      <c r="C147" s="8" t="s">
        <v>103</v>
      </c>
      <c r="D147" s="8" t="s">
        <v>90</v>
      </c>
      <c r="E147" s="4" t="s">
        <v>482</v>
      </c>
      <c r="F147" s="4" t="s">
        <v>25</v>
      </c>
      <c r="G147" s="5">
        <v>32000</v>
      </c>
      <c r="H147" s="5" t="s">
        <v>41</v>
      </c>
      <c r="I147" s="5" t="s">
        <v>394</v>
      </c>
      <c r="J147" s="8" t="s">
        <v>547</v>
      </c>
      <c r="K147" s="8" t="s">
        <v>468</v>
      </c>
      <c r="L147" s="8" t="s">
        <v>395</v>
      </c>
      <c r="M147" s="8" t="s">
        <v>248</v>
      </c>
      <c r="N147" s="8" t="str">
        <f>IF(ISBLANK(Table1[[#This Row],[Dealer_Name]]), "UNKNOWN", Table1[[#This Row],[Dealer_Name]])</f>
        <v>BMW Elite</v>
      </c>
      <c r="O147" s="8" t="s">
        <v>52</v>
      </c>
      <c r="P147" s="8" t="s">
        <v>31</v>
      </c>
      <c r="Q147" s="10" t="s">
        <v>156</v>
      </c>
      <c r="R147" s="13" t="str">
        <f>IF(ISBLANK(Table1[[#This Row],[Engine_Size]]), "UNKNOWN",Table1[[#This Row],[Engine_Size]])</f>
        <v>2.0L</v>
      </c>
      <c r="S147" s="4" t="s">
        <v>46</v>
      </c>
      <c r="T147" s="8" t="str">
        <f>IF(ISBLANK(Table1[[#This Row],[Color]]), "UNKNOWN", Table1[[#This Row],[Color]])</f>
        <v>Black</v>
      </c>
      <c r="U147" s="13">
        <v>15000</v>
      </c>
      <c r="V147" s="4">
        <v>2022</v>
      </c>
      <c r="W147" s="4">
        <v>202406</v>
      </c>
      <c r="X147" s="15">
        <f t="shared" si="4"/>
        <v>45473</v>
      </c>
      <c r="Y147" s="4" t="s">
        <v>389</v>
      </c>
      <c r="Z147" s="4" t="s">
        <v>362</v>
      </c>
    </row>
    <row r="148" spans="1:26" x14ac:dyDescent="0.2">
      <c r="A148" s="4" t="s">
        <v>438</v>
      </c>
      <c r="B148" s="8" t="s">
        <v>21</v>
      </c>
      <c r="C148" s="8" t="s">
        <v>397</v>
      </c>
      <c r="D148" s="8" t="s">
        <v>398</v>
      </c>
      <c r="E148" s="4" t="s">
        <v>399</v>
      </c>
      <c r="F148" s="4" t="s">
        <v>25</v>
      </c>
      <c r="G148" s="5">
        <v>33500</v>
      </c>
      <c r="H148" s="5" t="s">
        <v>41</v>
      </c>
      <c r="I148" s="5" t="s">
        <v>400</v>
      </c>
      <c r="J148" s="8" t="s">
        <v>548</v>
      </c>
      <c r="K148" s="8" t="s">
        <v>519</v>
      </c>
      <c r="L148" s="8" t="s">
        <v>401</v>
      </c>
      <c r="M148" s="8" t="s">
        <v>29</v>
      </c>
      <c r="N148" s="8" t="str">
        <f>IF(ISBLANK(Table1[[#This Row],[Dealer_Name]]), "UNKNOWN", Table1[[#This Row],[Dealer_Name]])</f>
        <v>Toyota Center</v>
      </c>
      <c r="O148" s="8" t="s">
        <v>30</v>
      </c>
      <c r="P148" s="8" t="s">
        <v>31</v>
      </c>
      <c r="Q148" s="10" t="s">
        <v>133</v>
      </c>
      <c r="R148" s="13" t="str">
        <f>IF(ISBLANK(Table1[[#This Row],[Engine_Size]]), "UNKNOWN",Table1[[#This Row],[Engine_Size]])</f>
        <v>2.7L</v>
      </c>
      <c r="S148" s="4" t="s">
        <v>101</v>
      </c>
      <c r="T148" s="8" t="str">
        <f>IF(ISBLANK(Table1[[#This Row],[Color]]), "UNKNOWN", Table1[[#This Row],[Color]])</f>
        <v>Gray</v>
      </c>
      <c r="U148" s="13">
        <v>21000</v>
      </c>
      <c r="V148" s="4">
        <v>2020</v>
      </c>
      <c r="W148" s="4">
        <v>202406</v>
      </c>
      <c r="X148" s="15">
        <f t="shared" si="4"/>
        <v>45473</v>
      </c>
      <c r="Y148" s="4" t="s">
        <v>389</v>
      </c>
      <c r="Z148" s="4" t="s">
        <v>362</v>
      </c>
    </row>
    <row r="149" spans="1:26" x14ac:dyDescent="0.2">
      <c r="A149" s="4" t="s">
        <v>439</v>
      </c>
      <c r="B149" s="8" t="s">
        <v>21</v>
      </c>
      <c r="C149" s="8" t="s">
        <v>110</v>
      </c>
      <c r="D149" s="8" t="s">
        <v>90</v>
      </c>
      <c r="E149" s="4" t="s">
        <v>482</v>
      </c>
      <c r="F149" s="4" t="s">
        <v>485</v>
      </c>
      <c r="G149" s="5">
        <v>43000</v>
      </c>
      <c r="H149" s="5" t="s">
        <v>92</v>
      </c>
      <c r="I149" s="5" t="s">
        <v>403</v>
      </c>
      <c r="J149" s="8" t="s">
        <v>549</v>
      </c>
      <c r="K149" s="8" t="s">
        <v>33</v>
      </c>
      <c r="L149" s="8" t="s">
        <v>404</v>
      </c>
      <c r="M149" s="8" t="s">
        <v>165</v>
      </c>
      <c r="N149" s="8" t="str">
        <f>IF(ISBLANK(Table1[[#This Row],[Dealer_Name]]), "UNKNOWN", Table1[[#This Row],[Dealer_Name]])</f>
        <v>Tesla Direct</v>
      </c>
      <c r="O149" s="8" t="s">
        <v>30</v>
      </c>
      <c r="P149" s="8" t="s">
        <v>166</v>
      </c>
      <c r="R149" s="14" t="str">
        <f>IF(ISBLANK(Table1[[#This Row],[Engine_Size]]), "UNKNOWN",Table1[[#This Row],[Engine_Size]])</f>
        <v>UNKNOWN</v>
      </c>
      <c r="S149" s="4" t="s">
        <v>54</v>
      </c>
      <c r="T149" s="8" t="str">
        <f>IF(ISBLANK(Table1[[#This Row],[Color]]), "UNKNOWN", Table1[[#This Row],[Color]])</f>
        <v>Silver</v>
      </c>
      <c r="U149" s="13">
        <v>1000</v>
      </c>
      <c r="V149" s="4">
        <v>2024</v>
      </c>
      <c r="W149" s="4">
        <v>202406</v>
      </c>
      <c r="X149" s="15">
        <f t="shared" si="4"/>
        <v>45473</v>
      </c>
      <c r="Y149" s="4" t="s">
        <v>389</v>
      </c>
      <c r="Z149" s="4" t="s">
        <v>362</v>
      </c>
    </row>
    <row r="150" spans="1:26" x14ac:dyDescent="0.2">
      <c r="A150" s="4" t="s">
        <v>440</v>
      </c>
      <c r="B150" s="8" t="s">
        <v>207</v>
      </c>
      <c r="C150" s="8" t="s">
        <v>406</v>
      </c>
      <c r="D150" s="8" t="s">
        <v>23</v>
      </c>
      <c r="E150" s="4" t="s">
        <v>73</v>
      </c>
      <c r="F150" s="4" t="s">
        <v>25</v>
      </c>
      <c r="G150" s="5">
        <v>29800</v>
      </c>
      <c r="H150" s="5" t="s">
        <v>41</v>
      </c>
      <c r="I150" s="5" t="s">
        <v>407</v>
      </c>
      <c r="J150" s="8" t="s">
        <v>486</v>
      </c>
      <c r="K150" s="8" t="s">
        <v>479</v>
      </c>
      <c r="L150" s="8" t="s">
        <v>408</v>
      </c>
      <c r="M150" s="8" t="s">
        <v>147</v>
      </c>
      <c r="N150" s="8" t="str">
        <f>IF(ISBLANK(Table1[[#This Row],[Dealer_Name]]), "UNKNOWN", Table1[[#This Row],[Dealer_Name]])</f>
        <v>Metro Honda</v>
      </c>
      <c r="O150" s="8" t="s">
        <v>52</v>
      </c>
      <c r="P150" s="8" t="s">
        <v>31</v>
      </c>
      <c r="Q150" s="10" t="s">
        <v>53</v>
      </c>
      <c r="R150" s="13" t="str">
        <f>IF(ISBLANK(Table1[[#This Row],[Engine_Size]]), "UNKNOWN",Table1[[#This Row],[Engine_Size]])</f>
        <v>1.5L</v>
      </c>
      <c r="S150" s="4" t="s">
        <v>46</v>
      </c>
      <c r="T150" s="8" t="str">
        <f>IF(ISBLANK(Table1[[#This Row],[Color]]), "UNKNOWN", Table1[[#This Row],[Color]])</f>
        <v>Black</v>
      </c>
      <c r="U150" s="13">
        <v>22000</v>
      </c>
      <c r="V150" s="4">
        <v>2021</v>
      </c>
      <c r="W150" s="4">
        <v>202404</v>
      </c>
      <c r="X150" s="15">
        <f t="shared" si="4"/>
        <v>45412</v>
      </c>
      <c r="Y150" s="4" t="s">
        <v>361</v>
      </c>
      <c r="Z150" s="4" t="s">
        <v>362</v>
      </c>
    </row>
    <row r="151" spans="1:26" x14ac:dyDescent="0.2">
      <c r="A151" s="4" t="s">
        <v>441</v>
      </c>
      <c r="B151" s="8" t="s">
        <v>227</v>
      </c>
      <c r="C151" s="8" t="s">
        <v>410</v>
      </c>
      <c r="D151" s="8" t="s">
        <v>90</v>
      </c>
      <c r="E151" s="4" t="s">
        <v>91</v>
      </c>
      <c r="F151" s="4" t="s">
        <v>485</v>
      </c>
      <c r="G151" s="5">
        <v>10436</v>
      </c>
      <c r="H151" s="5" t="s">
        <v>92</v>
      </c>
      <c r="I151" s="5" t="s">
        <v>411</v>
      </c>
      <c r="J151" s="8" t="s">
        <v>550</v>
      </c>
      <c r="K151" s="8" t="s">
        <v>475</v>
      </c>
      <c r="L151" s="8" t="s">
        <v>66</v>
      </c>
      <c r="M151" s="8" t="s">
        <v>165</v>
      </c>
      <c r="N151" s="8" t="str">
        <f>IF(ISBLANK(Table1[[#This Row],[Dealer_Name]]), "UNKNOWN", Table1[[#This Row],[Dealer_Name]])</f>
        <v>Tesla Direct</v>
      </c>
      <c r="O151" s="8" t="s">
        <v>30</v>
      </c>
      <c r="P151" s="8" t="s">
        <v>166</v>
      </c>
      <c r="R151" s="14" t="str">
        <f>IF(ISBLANK(Table1[[#This Row],[Engine_Size]]), "UNKNOWN",Table1[[#This Row],[Engine_Size]])</f>
        <v>UNKNOWN</v>
      </c>
      <c r="S151" s="4" t="s">
        <v>101</v>
      </c>
      <c r="T151" s="8" t="str">
        <f>IF(ISBLANK(Table1[[#This Row],[Color]]), "UNKNOWN", Table1[[#This Row],[Color]])</f>
        <v>Gray</v>
      </c>
      <c r="U151" s="13">
        <v>6000</v>
      </c>
      <c r="V151" s="4">
        <v>2024</v>
      </c>
      <c r="W151" s="4">
        <v>202405</v>
      </c>
      <c r="X151" s="15">
        <f t="shared" si="4"/>
        <v>45443</v>
      </c>
      <c r="Y151" s="4" t="s">
        <v>375</v>
      </c>
      <c r="Z151" s="4" t="s">
        <v>362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E4A19-800E-4088-8E08-24F8D506678E}">
  <dimension ref="A1:Z151"/>
  <sheetViews>
    <sheetView topLeftCell="P1" workbookViewId="0">
      <selection activeCell="T26" sqref="T26"/>
    </sheetView>
  </sheetViews>
  <sheetFormatPr baseColWidth="10" defaultColWidth="28.83203125" defaultRowHeight="16" x14ac:dyDescent="0.2"/>
  <cols>
    <col min="1" max="1" width="28.83203125" style="6"/>
    <col min="2" max="4" width="28.83203125" style="9"/>
    <col min="5" max="6" width="28.83203125" style="6"/>
    <col min="7" max="9" width="28.83203125" style="7"/>
    <col min="10" max="12" width="28.83203125" style="9"/>
    <col min="13" max="13" width="0" style="9" hidden="1" customWidth="1"/>
    <col min="14" max="16" width="28.83203125" style="9"/>
    <col min="17" max="17" width="0" style="11" hidden="1" customWidth="1"/>
    <col min="18" max="18" width="28.83203125" style="14"/>
    <col min="19" max="19" width="0" style="6" hidden="1" customWidth="1"/>
    <col min="20" max="20" width="28.83203125" style="9"/>
    <col min="21" max="21" width="28.83203125" style="14"/>
    <col min="22" max="22" width="28.83203125" style="6"/>
    <col min="23" max="23" width="0" style="6" hidden="1" customWidth="1"/>
    <col min="24" max="24" width="28.83203125" style="16"/>
    <col min="25" max="16384" width="28.83203125" style="6"/>
  </cols>
  <sheetData>
    <row r="1" spans="1:26" x14ac:dyDescent="0.2">
      <c r="A1" s="4" t="s">
        <v>0</v>
      </c>
      <c r="B1" s="8" t="s">
        <v>1</v>
      </c>
      <c r="C1" s="8" t="s">
        <v>2</v>
      </c>
      <c r="D1" s="8" t="s">
        <v>3</v>
      </c>
      <c r="E1" s="4" t="s">
        <v>4</v>
      </c>
      <c r="F1" s="4" t="s">
        <v>5</v>
      </c>
      <c r="G1" s="5" t="s">
        <v>6</v>
      </c>
      <c r="H1" s="5" t="s">
        <v>7</v>
      </c>
      <c r="I1" s="5" t="s">
        <v>8</v>
      </c>
      <c r="J1" s="8" t="s">
        <v>458</v>
      </c>
      <c r="K1" s="8" t="s">
        <v>459</v>
      </c>
      <c r="L1" s="8" t="s">
        <v>9</v>
      </c>
      <c r="M1" s="8" t="s">
        <v>10</v>
      </c>
      <c r="N1" s="8" t="s">
        <v>460</v>
      </c>
      <c r="O1" s="8" t="s">
        <v>11</v>
      </c>
      <c r="P1" s="8" t="s">
        <v>12</v>
      </c>
      <c r="Q1" s="10" t="s">
        <v>13</v>
      </c>
      <c r="R1" s="13" t="s">
        <v>461</v>
      </c>
      <c r="S1" s="4" t="s">
        <v>14</v>
      </c>
      <c r="T1" s="8" t="s">
        <v>462</v>
      </c>
      <c r="U1" s="13" t="s">
        <v>15</v>
      </c>
      <c r="V1" s="4" t="s">
        <v>16</v>
      </c>
      <c r="W1" s="4" t="s">
        <v>17</v>
      </c>
      <c r="X1" s="15" t="s">
        <v>463</v>
      </c>
      <c r="Y1" s="4" t="s">
        <v>18</v>
      </c>
      <c r="Z1" s="4" t="s">
        <v>19</v>
      </c>
    </row>
    <row r="2" spans="1:26" x14ac:dyDescent="0.2">
      <c r="A2" s="4" t="s">
        <v>20</v>
      </c>
      <c r="B2" s="8" t="s">
        <v>21</v>
      </c>
      <c r="C2" s="8" t="s">
        <v>22</v>
      </c>
      <c r="D2" s="8" t="s">
        <v>23</v>
      </c>
      <c r="E2" s="4" t="s">
        <v>464</v>
      </c>
      <c r="F2" s="4" t="s">
        <v>25</v>
      </c>
      <c r="G2" s="5">
        <v>24500</v>
      </c>
      <c r="H2" s="5" t="s">
        <v>26</v>
      </c>
      <c r="I2" s="5" t="s">
        <v>27</v>
      </c>
      <c r="J2" s="8" t="s">
        <v>465</v>
      </c>
      <c r="K2" s="8" t="s">
        <v>466</v>
      </c>
      <c r="L2" s="8" t="s">
        <v>28</v>
      </c>
      <c r="M2" s="8" t="s">
        <v>29</v>
      </c>
      <c r="N2" s="8" t="str">
        <f>IF(ISBLANK(Table13[[#This Row],[Dealer_Name]]), "UNKNOWN", Table13[[#This Row],[Dealer_Name]])</f>
        <v>Toyota Center</v>
      </c>
      <c r="O2" s="8" t="s">
        <v>30</v>
      </c>
      <c r="P2" s="8" t="s">
        <v>31</v>
      </c>
      <c r="Q2" s="10" t="s">
        <v>32</v>
      </c>
      <c r="R2" s="13" t="str">
        <f>IF(ISBLANK(Table13[[#This Row],[Engine_Size]]), "UNKNOWN",Table13[[#This Row],[Engine_Size]])</f>
        <v>1.8L</v>
      </c>
      <c r="S2" s="4" t="s">
        <v>33</v>
      </c>
      <c r="T2" s="8" t="str">
        <f>IF(ISBLANK(Table13[[#This Row],[Color]]), "UNKNOWN", Table13[[#This Row],[Color]])</f>
        <v>White</v>
      </c>
      <c r="U2" s="13">
        <v>8500</v>
      </c>
      <c r="V2" s="4">
        <v>2021</v>
      </c>
      <c r="W2" s="4">
        <v>202401</v>
      </c>
      <c r="X2" s="17">
        <f t="shared" ref="X2:X65" si="0">EOMONTH(DATE(LEFT(W2,4), RIGHT(W2,2), 1), 0)</f>
        <v>45322</v>
      </c>
      <c r="Y2" s="4" t="s">
        <v>34</v>
      </c>
      <c r="Z2" s="4" t="s">
        <v>35</v>
      </c>
    </row>
    <row r="3" spans="1:26" x14ac:dyDescent="0.2">
      <c r="A3" s="4" t="s">
        <v>36</v>
      </c>
      <c r="B3" s="8" t="s">
        <v>21</v>
      </c>
      <c r="C3" s="8" t="s">
        <v>37</v>
      </c>
      <c r="D3" s="8" t="s">
        <v>38</v>
      </c>
      <c r="E3" s="4" t="s">
        <v>39</v>
      </c>
      <c r="F3" s="4" t="s">
        <v>40</v>
      </c>
      <c r="G3" s="5">
        <v>27000</v>
      </c>
      <c r="H3" s="5" t="s">
        <v>41</v>
      </c>
      <c r="I3" s="5" t="s">
        <v>42</v>
      </c>
      <c r="J3" s="8" t="s">
        <v>467</v>
      </c>
      <c r="K3" s="8" t="s">
        <v>468</v>
      </c>
      <c r="L3" s="8" t="s">
        <v>43</v>
      </c>
      <c r="M3" s="8" t="s">
        <v>44</v>
      </c>
      <c r="N3" s="8" t="str">
        <f>IF(ISBLANK(Table13[[#This Row],[Dealer_Name]]), "UNKNOWN", Table13[[#This Row],[Dealer_Name]])</f>
        <v>Hyundai Plus</v>
      </c>
      <c r="O3" s="8" t="s">
        <v>30</v>
      </c>
      <c r="P3" s="8" t="s">
        <v>31</v>
      </c>
      <c r="Q3" s="10" t="s">
        <v>45</v>
      </c>
      <c r="R3" s="13" t="str">
        <f>IF(ISBLANK(Table13[[#This Row],[Engine_Size]]), "UNKNOWN",Table13[[#This Row],[Engine_Size]])</f>
        <v>2.4L</v>
      </c>
      <c r="S3" s="4" t="s">
        <v>46</v>
      </c>
      <c r="T3" s="8" t="str">
        <f>IF(ISBLANK(Table13[[#This Row],[Color]]), "UNKNOWN", Table13[[#This Row],[Color]])</f>
        <v>Black</v>
      </c>
      <c r="U3" s="13">
        <v>28000</v>
      </c>
      <c r="V3" s="4">
        <v>2019</v>
      </c>
      <c r="W3" s="4">
        <v>202402</v>
      </c>
      <c r="X3" s="15">
        <f t="shared" si="0"/>
        <v>45351</v>
      </c>
      <c r="Y3" s="4" t="s">
        <v>47</v>
      </c>
      <c r="Z3" s="4" t="s">
        <v>35</v>
      </c>
    </row>
    <row r="4" spans="1:26" x14ac:dyDescent="0.2">
      <c r="A4" s="4" t="s">
        <v>48</v>
      </c>
      <c r="B4" s="8" t="s">
        <v>21</v>
      </c>
      <c r="C4" s="8" t="s">
        <v>22</v>
      </c>
      <c r="D4" s="8" t="s">
        <v>23</v>
      </c>
      <c r="E4" s="4" t="s">
        <v>464</v>
      </c>
      <c r="F4" s="4" t="s">
        <v>25</v>
      </c>
      <c r="G4" s="5">
        <v>22000</v>
      </c>
      <c r="H4" s="5" t="s">
        <v>26</v>
      </c>
      <c r="I4" s="5" t="s">
        <v>49</v>
      </c>
      <c r="J4" s="8" t="s">
        <v>469</v>
      </c>
      <c r="K4" s="8" t="s">
        <v>470</v>
      </c>
      <c r="L4" s="8" t="s">
        <v>50</v>
      </c>
      <c r="M4" s="8" t="s">
        <v>51</v>
      </c>
      <c r="N4" s="8" t="str">
        <f>IF(ISBLANK(Table13[[#This Row],[Dealer_Name]]), "UNKNOWN", Table13[[#This Row],[Dealer_Name]])</f>
        <v>metro honda</v>
      </c>
      <c r="O4" s="8" t="s">
        <v>52</v>
      </c>
      <c r="P4" s="8" t="s">
        <v>31</v>
      </c>
      <c r="Q4" s="10" t="s">
        <v>53</v>
      </c>
      <c r="R4" s="13" t="str">
        <f>IF(ISBLANK(Table13[[#This Row],[Engine_Size]]), "UNKNOWN",Table13[[#This Row],[Engine_Size]])</f>
        <v>1.5L</v>
      </c>
      <c r="S4" s="4" t="s">
        <v>54</v>
      </c>
      <c r="T4" s="8" t="str">
        <f>IF(ISBLANK(Table13[[#This Row],[Color]]), "UNKNOWN", Table13[[#This Row],[Color]])</f>
        <v>Silver</v>
      </c>
      <c r="U4" s="13">
        <v>19000</v>
      </c>
      <c r="V4" s="4">
        <v>2021</v>
      </c>
      <c r="W4" s="4">
        <v>202403</v>
      </c>
      <c r="X4" s="15">
        <f t="shared" si="0"/>
        <v>45382</v>
      </c>
      <c r="Y4" s="4" t="s">
        <v>55</v>
      </c>
      <c r="Z4" s="4" t="s">
        <v>35</v>
      </c>
    </row>
    <row r="5" spans="1:26" x14ac:dyDescent="0.2">
      <c r="A5" s="4" t="s">
        <v>56</v>
      </c>
      <c r="B5" s="8" t="s">
        <v>21</v>
      </c>
      <c r="C5" s="8" t="s">
        <v>22</v>
      </c>
      <c r="D5" s="8" t="s">
        <v>23</v>
      </c>
      <c r="E5" s="4" t="s">
        <v>464</v>
      </c>
      <c r="F5" s="4" t="s">
        <v>25</v>
      </c>
      <c r="G5" s="5">
        <v>22000</v>
      </c>
      <c r="H5" s="5" t="s">
        <v>26</v>
      </c>
      <c r="I5" s="5" t="s">
        <v>49</v>
      </c>
      <c r="J5" s="8" t="s">
        <v>469</v>
      </c>
      <c r="K5" s="8" t="s">
        <v>470</v>
      </c>
      <c r="L5" s="8" t="s">
        <v>50</v>
      </c>
      <c r="M5" s="8" t="s">
        <v>51</v>
      </c>
      <c r="N5" s="8" t="str">
        <f>IF(ISBLANK(Table13[[#This Row],[Dealer_Name]]), "UNKNOWN", Table13[[#This Row],[Dealer_Name]])</f>
        <v>metro honda</v>
      </c>
      <c r="O5" s="8" t="s">
        <v>52</v>
      </c>
      <c r="P5" s="8" t="s">
        <v>31</v>
      </c>
      <c r="Q5" s="10" t="s">
        <v>53</v>
      </c>
      <c r="R5" s="13" t="str">
        <f>IF(ISBLANK(Table13[[#This Row],[Engine_Size]]), "UNKNOWN",Table13[[#This Row],[Engine_Size]])</f>
        <v>1.5L</v>
      </c>
      <c r="S5" s="4" t="s">
        <v>54</v>
      </c>
      <c r="T5" s="8" t="str">
        <f>IF(ISBLANK(Table13[[#This Row],[Color]]), "UNKNOWN", Table13[[#This Row],[Color]])</f>
        <v>Silver</v>
      </c>
      <c r="U5" s="13">
        <v>19000</v>
      </c>
      <c r="V5" s="4">
        <v>2021</v>
      </c>
      <c r="W5" s="4">
        <v>202403</v>
      </c>
      <c r="X5" s="15">
        <f t="shared" si="0"/>
        <v>45382</v>
      </c>
      <c r="Y5" s="4" t="s">
        <v>55</v>
      </c>
      <c r="Z5" s="4" t="s">
        <v>35</v>
      </c>
    </row>
    <row r="6" spans="1:26" x14ac:dyDescent="0.2">
      <c r="A6" s="4" t="s">
        <v>57</v>
      </c>
      <c r="B6" s="8" t="s">
        <v>21</v>
      </c>
      <c r="C6" s="8" t="s">
        <v>22</v>
      </c>
      <c r="D6" s="8" t="s">
        <v>23</v>
      </c>
      <c r="E6" s="4" t="s">
        <v>464</v>
      </c>
      <c r="F6" s="4" t="s">
        <v>25</v>
      </c>
      <c r="G6" s="5">
        <v>22000</v>
      </c>
      <c r="H6" s="5" t="s">
        <v>26</v>
      </c>
      <c r="I6" s="5" t="s">
        <v>58</v>
      </c>
      <c r="J6" s="8" t="s">
        <v>471</v>
      </c>
      <c r="K6" s="8" t="s">
        <v>472</v>
      </c>
      <c r="L6" s="8" t="s">
        <v>59</v>
      </c>
      <c r="M6" s="8" t="s">
        <v>29</v>
      </c>
      <c r="N6" s="8" t="str">
        <f>IF(ISBLANK(Table13[[#This Row],[Dealer_Name]]), "UNKNOWN", Table13[[#This Row],[Dealer_Name]])</f>
        <v>Toyota Center</v>
      </c>
      <c r="O6" s="8" t="s">
        <v>30</v>
      </c>
      <c r="P6" s="8" t="s">
        <v>39</v>
      </c>
      <c r="Q6" s="10" t="s">
        <v>60</v>
      </c>
      <c r="R6" s="13" t="str">
        <f>IF(ISBLANK(Table13[[#This Row],[Engine_Size]]), "UNKNOWN",Table13[[#This Row],[Engine_Size]])</f>
        <v>2.5L</v>
      </c>
      <c r="S6" s="4" t="s">
        <v>61</v>
      </c>
      <c r="T6" s="8" t="str">
        <f>IF(ISBLANK(Table13[[#This Row],[Color]]), "UNKNOWN", Table13[[#This Row],[Color]])</f>
        <v>Blue</v>
      </c>
      <c r="U6" s="13">
        <v>14000</v>
      </c>
      <c r="V6" s="4">
        <v>2022</v>
      </c>
      <c r="W6" s="4">
        <v>202403</v>
      </c>
      <c r="X6" s="15">
        <f t="shared" si="0"/>
        <v>45382</v>
      </c>
      <c r="Y6" s="4" t="s">
        <v>55</v>
      </c>
      <c r="Z6" s="4" t="s">
        <v>35</v>
      </c>
    </row>
    <row r="7" spans="1:26" x14ac:dyDescent="0.2">
      <c r="A7" s="4" t="s">
        <v>62</v>
      </c>
      <c r="B7" s="8" t="s">
        <v>21</v>
      </c>
      <c r="C7" s="8" t="s">
        <v>63</v>
      </c>
      <c r="D7" s="8" t="s">
        <v>23</v>
      </c>
      <c r="E7" s="4" t="s">
        <v>473</v>
      </c>
      <c r="F7" s="4" t="s">
        <v>25</v>
      </c>
      <c r="G7" s="5">
        <v>28000</v>
      </c>
      <c r="H7" s="5" t="s">
        <v>41</v>
      </c>
      <c r="I7" s="5" t="s">
        <v>65</v>
      </c>
      <c r="J7" s="8" t="s">
        <v>474</v>
      </c>
      <c r="K7" s="8" t="s">
        <v>475</v>
      </c>
      <c r="L7" s="8" t="s">
        <v>66</v>
      </c>
      <c r="M7" s="8" t="s">
        <v>67</v>
      </c>
      <c r="N7" s="8" t="str">
        <f>IF(ISBLANK(Table13[[#This Row],[Dealer_Name]]), "UNKNOWN", Table13[[#This Row],[Dealer_Name]])</f>
        <v>Ford Country</v>
      </c>
      <c r="O7" s="8" t="s">
        <v>68</v>
      </c>
      <c r="P7" s="8" t="s">
        <v>31</v>
      </c>
      <c r="Q7" s="10" t="s">
        <v>69</v>
      </c>
      <c r="R7" s="13" t="str">
        <f>IF(ISBLANK(Table13[[#This Row],[Engine_Size]]), "UNKNOWN",Table13[[#This Row],[Engine_Size]])</f>
        <v>5.0L</v>
      </c>
      <c r="S7" s="4" t="s">
        <v>70</v>
      </c>
      <c r="T7" s="8" t="str">
        <f>IF(ISBLANK(Table13[[#This Row],[Color]]), "UNKNOWN", Table13[[#This Row],[Color]])</f>
        <v>Red</v>
      </c>
      <c r="U7" s="13">
        <v>21000</v>
      </c>
      <c r="V7" s="4">
        <v>2021</v>
      </c>
      <c r="W7" s="4">
        <v>202403</v>
      </c>
      <c r="X7" s="15">
        <f t="shared" si="0"/>
        <v>45382</v>
      </c>
      <c r="Y7" s="4" t="s">
        <v>55</v>
      </c>
      <c r="Z7" s="4" t="s">
        <v>35</v>
      </c>
    </row>
    <row r="8" spans="1:26" x14ac:dyDescent="0.2">
      <c r="A8" s="4" t="s">
        <v>71</v>
      </c>
      <c r="B8" s="8" t="s">
        <v>21</v>
      </c>
      <c r="C8" s="8" t="s">
        <v>72</v>
      </c>
      <c r="D8" s="8" t="s">
        <v>23</v>
      </c>
      <c r="E8" s="4" t="s">
        <v>73</v>
      </c>
      <c r="F8" s="4" t="s">
        <v>25</v>
      </c>
      <c r="G8" s="5">
        <v>39500</v>
      </c>
      <c r="H8" s="5" t="s">
        <v>41</v>
      </c>
      <c r="I8" s="5" t="s">
        <v>74</v>
      </c>
      <c r="J8" s="8" t="s">
        <v>476</v>
      </c>
      <c r="K8" s="8" t="s">
        <v>477</v>
      </c>
      <c r="L8" s="8" t="s">
        <v>75</v>
      </c>
      <c r="M8" s="8" t="s">
        <v>76</v>
      </c>
      <c r="N8" s="8" t="str">
        <f>IF(ISBLANK(Table13[[#This Row],[Dealer_Name]]), "UNKNOWN", Table13[[#This Row],[Dealer_Name]])</f>
        <v>toyota center</v>
      </c>
      <c r="O8" s="8" t="s">
        <v>30</v>
      </c>
      <c r="P8" s="8" t="s">
        <v>31</v>
      </c>
      <c r="Q8" s="10" t="s">
        <v>77</v>
      </c>
      <c r="R8" s="13" t="str">
        <f>IF(ISBLANK(Table13[[#This Row],[Engine_Size]]), "UNKNOWN",Table13[[#This Row],[Engine_Size]])</f>
        <v>3.5L</v>
      </c>
      <c r="S8" s="4" t="s">
        <v>46</v>
      </c>
      <c r="T8" s="8" t="str">
        <f>IF(ISBLANK(Table13[[#This Row],[Color]]), "UNKNOWN", Table13[[#This Row],[Color]])</f>
        <v>Black</v>
      </c>
      <c r="U8" s="13">
        <v>17000</v>
      </c>
      <c r="V8" s="4">
        <v>2021</v>
      </c>
      <c r="W8" s="4">
        <v>202407</v>
      </c>
      <c r="X8" s="15">
        <f t="shared" si="0"/>
        <v>45504</v>
      </c>
      <c r="Y8" s="4" t="s">
        <v>78</v>
      </c>
      <c r="Z8" s="4" t="s">
        <v>79</v>
      </c>
    </row>
    <row r="9" spans="1:26" x14ac:dyDescent="0.2">
      <c r="A9" s="4" t="s">
        <v>80</v>
      </c>
      <c r="B9" s="8" t="s">
        <v>21</v>
      </c>
      <c r="C9" s="8" t="s">
        <v>37</v>
      </c>
      <c r="D9" s="8" t="s">
        <v>38</v>
      </c>
      <c r="E9" s="4" t="s">
        <v>39</v>
      </c>
      <c r="F9" s="4" t="s">
        <v>40</v>
      </c>
      <c r="G9" s="5">
        <v>27000</v>
      </c>
      <c r="H9" s="5" t="s">
        <v>41</v>
      </c>
      <c r="I9" s="5" t="s">
        <v>82</v>
      </c>
      <c r="J9" s="8" t="s">
        <v>478</v>
      </c>
      <c r="K9" s="8" t="s">
        <v>479</v>
      </c>
      <c r="L9" s="8" t="s">
        <v>83</v>
      </c>
      <c r="M9" s="8" t="s">
        <v>84</v>
      </c>
      <c r="N9" s="8" t="str">
        <f>IF(ISBLANK(Table13[[#This Row],[Dealer_Name]]), "UNKNOWN", Table13[[#This Row],[Dealer_Name]])</f>
        <v>jeep nation</v>
      </c>
      <c r="O9" s="8" t="s">
        <v>85</v>
      </c>
      <c r="P9" s="8" t="s">
        <v>31</v>
      </c>
      <c r="Q9" s="10" t="s">
        <v>86</v>
      </c>
      <c r="R9" s="13" t="str">
        <f>IF(ISBLANK(Table13[[#This Row],[Engine_Size]]), "UNKNOWN",Table13[[#This Row],[Engine_Size]])</f>
        <v>3.6L</v>
      </c>
      <c r="S9" s="4" t="s">
        <v>87</v>
      </c>
      <c r="T9" s="8" t="str">
        <f>IF(ISBLANK(Table13[[#This Row],[Color]]), "UNKNOWN", Table13[[#This Row],[Color]])</f>
        <v>Orange</v>
      </c>
      <c r="U9" s="13">
        <v>11000</v>
      </c>
      <c r="V9" s="4">
        <v>2023</v>
      </c>
      <c r="W9" s="4">
        <v>202407</v>
      </c>
      <c r="X9" s="15">
        <f t="shared" si="0"/>
        <v>45504</v>
      </c>
      <c r="Y9" s="4" t="s">
        <v>78</v>
      </c>
      <c r="Z9" s="4" t="s">
        <v>79</v>
      </c>
    </row>
    <row r="10" spans="1:26" x14ac:dyDescent="0.2">
      <c r="A10" s="4" t="s">
        <v>88</v>
      </c>
      <c r="B10" s="8" t="s">
        <v>21</v>
      </c>
      <c r="C10" s="8" t="s">
        <v>89</v>
      </c>
      <c r="D10" s="8" t="s">
        <v>90</v>
      </c>
      <c r="E10" s="4" t="s">
        <v>91</v>
      </c>
      <c r="F10" s="4" t="s">
        <v>25</v>
      </c>
      <c r="G10" s="5">
        <v>56900</v>
      </c>
      <c r="H10" s="5" t="s">
        <v>92</v>
      </c>
      <c r="I10" s="5" t="s">
        <v>93</v>
      </c>
      <c r="J10" s="8" t="s">
        <v>480</v>
      </c>
      <c r="K10" s="8" t="s">
        <v>472</v>
      </c>
      <c r="L10" s="8" t="s">
        <v>94</v>
      </c>
      <c r="M10" s="8" t="s">
        <v>29</v>
      </c>
      <c r="N10" s="8" t="str">
        <f>IF(ISBLANK(Table13[[#This Row],[Dealer_Name]]), "UNKNOWN", Table13[[#This Row],[Dealer_Name]])</f>
        <v>Toyota Center</v>
      </c>
      <c r="O10" s="8" t="s">
        <v>30</v>
      </c>
      <c r="P10" s="8" t="s">
        <v>31</v>
      </c>
      <c r="Q10" s="10" t="s">
        <v>95</v>
      </c>
      <c r="R10" s="13" t="str">
        <f>IF(ISBLANK(Table13[[#This Row],[Engine_Size]]), "UNKNOWN",Table13[[#This Row],[Engine_Size]])</f>
        <v>5.7L</v>
      </c>
      <c r="S10" s="4" t="s">
        <v>46</v>
      </c>
      <c r="T10" s="8" t="str">
        <f>IF(ISBLANK(Table13[[#This Row],[Color]]), "UNKNOWN", Table13[[#This Row],[Color]])</f>
        <v>Black</v>
      </c>
      <c r="U10" s="13">
        <v>28000</v>
      </c>
      <c r="V10" s="4">
        <v>2019</v>
      </c>
      <c r="W10" s="4">
        <v>202407</v>
      </c>
      <c r="X10" s="15">
        <f t="shared" si="0"/>
        <v>45504</v>
      </c>
      <c r="Y10" s="4" t="s">
        <v>78</v>
      </c>
      <c r="Z10" s="4" t="s">
        <v>79</v>
      </c>
    </row>
    <row r="11" spans="1:26" x14ac:dyDescent="0.2">
      <c r="A11" s="4" t="s">
        <v>96</v>
      </c>
      <c r="B11" s="8" t="s">
        <v>21</v>
      </c>
      <c r="C11" s="8" t="s">
        <v>22</v>
      </c>
      <c r="D11" s="8" t="s">
        <v>23</v>
      </c>
      <c r="E11" s="4" t="s">
        <v>464</v>
      </c>
      <c r="F11" s="4" t="s">
        <v>25</v>
      </c>
      <c r="G11" s="5">
        <v>22000</v>
      </c>
      <c r="H11" s="5" t="s">
        <v>26</v>
      </c>
      <c r="I11" s="5" t="s">
        <v>97</v>
      </c>
      <c r="J11" s="8" t="s">
        <v>481</v>
      </c>
      <c r="K11" s="8" t="s">
        <v>475</v>
      </c>
      <c r="L11" s="8" t="s">
        <v>98</v>
      </c>
      <c r="M11" s="8" t="s">
        <v>99</v>
      </c>
      <c r="N11" s="8" t="str">
        <f>IF(ISBLANK(Table13[[#This Row],[Dealer_Name]]), "UNKNOWN", Table13[[#This Row],[Dealer_Name]])</f>
        <v>Chevy World</v>
      </c>
      <c r="O11" s="8" t="s">
        <v>68</v>
      </c>
      <c r="P11" s="8" t="s">
        <v>31</v>
      </c>
      <c r="Q11" s="10" t="s">
        <v>100</v>
      </c>
      <c r="R11" s="13" t="str">
        <f>IF(ISBLANK(Table13[[#This Row],[Engine_Size]]), "UNKNOWN",Table13[[#This Row],[Engine_Size]])</f>
        <v>5.3L</v>
      </c>
      <c r="S11" s="4" t="s">
        <v>101</v>
      </c>
      <c r="T11" s="8" t="str">
        <f>IF(ISBLANK(Table13[[#This Row],[Color]]), "UNKNOWN", Table13[[#This Row],[Color]])</f>
        <v>Gray</v>
      </c>
      <c r="U11" s="13">
        <v>25000</v>
      </c>
      <c r="V11" s="4">
        <v>2020</v>
      </c>
      <c r="W11" s="4">
        <v>202407</v>
      </c>
      <c r="X11" s="15">
        <f t="shared" si="0"/>
        <v>45504</v>
      </c>
      <c r="Y11" s="4" t="s">
        <v>78</v>
      </c>
      <c r="Z11" s="4" t="s">
        <v>79</v>
      </c>
    </row>
    <row r="12" spans="1:26" x14ac:dyDescent="0.2">
      <c r="A12" s="4" t="s">
        <v>102</v>
      </c>
      <c r="B12" s="8" t="s">
        <v>21</v>
      </c>
      <c r="C12" s="8" t="s">
        <v>103</v>
      </c>
      <c r="D12" s="8" t="s">
        <v>90</v>
      </c>
      <c r="E12" s="4" t="s">
        <v>482</v>
      </c>
      <c r="F12" s="4" t="s">
        <v>25</v>
      </c>
      <c r="G12" s="5">
        <v>32000</v>
      </c>
      <c r="H12" s="5" t="s">
        <v>41</v>
      </c>
      <c r="I12" s="5" t="s">
        <v>106</v>
      </c>
      <c r="J12" s="8" t="s">
        <v>483</v>
      </c>
      <c r="K12" s="8" t="s">
        <v>484</v>
      </c>
      <c r="L12" s="8" t="s">
        <v>107</v>
      </c>
      <c r="M12" s="8" t="s">
        <v>51</v>
      </c>
      <c r="N12" s="8" t="str">
        <f>IF(ISBLANK(Table13[[#This Row],[Dealer_Name]]), "UNKNOWN", Table13[[#This Row],[Dealer_Name]])</f>
        <v>metro honda</v>
      </c>
      <c r="O12" s="8" t="s">
        <v>52</v>
      </c>
      <c r="P12" s="8" t="s">
        <v>31</v>
      </c>
      <c r="Q12" s="10" t="s">
        <v>77</v>
      </c>
      <c r="R12" s="13" t="str">
        <f>IF(ISBLANK(Table13[[#This Row],[Engine_Size]]), "UNKNOWN",Table13[[#This Row],[Engine_Size]])</f>
        <v>3.5L</v>
      </c>
      <c r="S12" s="4" t="s">
        <v>54</v>
      </c>
      <c r="T12" s="8" t="str">
        <f>IF(ISBLANK(Table13[[#This Row],[Color]]), "UNKNOWN", Table13[[#This Row],[Color]])</f>
        <v>Silver</v>
      </c>
      <c r="U12" s="13">
        <v>22000</v>
      </c>
      <c r="V12" s="4">
        <v>2021</v>
      </c>
      <c r="W12" s="4">
        <v>202408</v>
      </c>
      <c r="X12" s="15">
        <f t="shared" si="0"/>
        <v>45535</v>
      </c>
      <c r="Y12" s="4" t="s">
        <v>108</v>
      </c>
      <c r="Z12" s="4" t="s">
        <v>79</v>
      </c>
    </row>
    <row r="13" spans="1:26" x14ac:dyDescent="0.2">
      <c r="A13" s="4" t="s">
        <v>109</v>
      </c>
      <c r="B13" s="8" t="s">
        <v>21</v>
      </c>
      <c r="C13" s="8" t="s">
        <v>110</v>
      </c>
      <c r="D13" s="8" t="s">
        <v>90</v>
      </c>
      <c r="E13" s="4" t="s">
        <v>482</v>
      </c>
      <c r="F13" s="4" t="s">
        <v>485</v>
      </c>
      <c r="G13" s="5">
        <v>43000</v>
      </c>
      <c r="H13" s="5" t="s">
        <v>92</v>
      </c>
      <c r="I13" s="5" t="s">
        <v>112</v>
      </c>
      <c r="J13" s="8" t="s">
        <v>486</v>
      </c>
      <c r="K13" s="8" t="s">
        <v>487</v>
      </c>
      <c r="L13" s="8" t="s">
        <v>113</v>
      </c>
      <c r="M13" s="8" t="s">
        <v>29</v>
      </c>
      <c r="N13" s="8" t="str">
        <f>IF(ISBLANK(Table13[[#This Row],[Dealer_Name]]), "UNKNOWN", Table13[[#This Row],[Dealer_Name]])</f>
        <v>Toyota Center</v>
      </c>
      <c r="O13" s="8" t="s">
        <v>30</v>
      </c>
      <c r="P13" s="8" t="s">
        <v>39</v>
      </c>
      <c r="Q13" s="10" t="s">
        <v>60</v>
      </c>
      <c r="R13" s="13" t="str">
        <f>IF(ISBLANK(Table13[[#This Row],[Engine_Size]]), "UNKNOWN",Table13[[#This Row],[Engine_Size]])</f>
        <v>2.5L</v>
      </c>
      <c r="S13" s="4" t="s">
        <v>33</v>
      </c>
      <c r="T13" s="8" t="str">
        <f>IF(ISBLANK(Table13[[#This Row],[Color]]), "UNKNOWN", Table13[[#This Row],[Color]])</f>
        <v>White</v>
      </c>
      <c r="U13" s="13">
        <v>15000</v>
      </c>
      <c r="V13" s="4">
        <v>2022</v>
      </c>
      <c r="W13" s="4">
        <v>202408</v>
      </c>
      <c r="X13" s="15">
        <f t="shared" si="0"/>
        <v>45535</v>
      </c>
      <c r="Y13" s="4" t="s">
        <v>108</v>
      </c>
      <c r="Z13" s="4" t="s">
        <v>79</v>
      </c>
    </row>
    <row r="14" spans="1:26" x14ac:dyDescent="0.2">
      <c r="A14" s="4" t="s">
        <v>114</v>
      </c>
      <c r="B14" s="8" t="s">
        <v>21</v>
      </c>
      <c r="C14" s="8" t="s">
        <v>115</v>
      </c>
      <c r="D14" s="8" t="s">
        <v>23</v>
      </c>
      <c r="E14" s="4" t="s">
        <v>73</v>
      </c>
      <c r="F14" s="4" t="s">
        <v>25</v>
      </c>
      <c r="G14" s="5">
        <v>58500</v>
      </c>
      <c r="H14" s="5" t="s">
        <v>92</v>
      </c>
      <c r="I14" s="5" t="s">
        <v>116</v>
      </c>
      <c r="J14" s="8" t="s">
        <v>488</v>
      </c>
      <c r="K14" s="8" t="s">
        <v>468</v>
      </c>
      <c r="L14" s="8" t="s">
        <v>117</v>
      </c>
      <c r="M14" s="8" t="s">
        <v>44</v>
      </c>
      <c r="N14" s="8" t="str">
        <f>IF(ISBLANK(Table13[[#This Row],[Dealer_Name]]), "UNKNOWN", Table13[[#This Row],[Dealer_Name]])</f>
        <v>Hyundai Plus</v>
      </c>
      <c r="O14" s="8" t="s">
        <v>30</v>
      </c>
      <c r="P14" s="8" t="s">
        <v>118</v>
      </c>
      <c r="R14" s="14" t="str">
        <f>IF(ISBLANK(Table13[[#This Row],[Engine_Size]]), "UNKNOWN",Table13[[#This Row],[Engine_Size]])</f>
        <v>UNKNOWN</v>
      </c>
      <c r="S14" s="4" t="s">
        <v>61</v>
      </c>
      <c r="T14" s="8" t="str">
        <f>IF(ISBLANK(Table13[[#This Row],[Color]]), "UNKNOWN", Table13[[#This Row],[Color]])</f>
        <v>Blue</v>
      </c>
      <c r="U14" s="13">
        <v>27000</v>
      </c>
      <c r="V14" s="4">
        <v>2019</v>
      </c>
      <c r="W14" s="4">
        <v>202408</v>
      </c>
      <c r="X14" s="15">
        <f t="shared" si="0"/>
        <v>45535</v>
      </c>
      <c r="Y14" s="4" t="s">
        <v>108</v>
      </c>
      <c r="Z14" s="4" t="s">
        <v>79</v>
      </c>
    </row>
    <row r="15" spans="1:26" x14ac:dyDescent="0.2">
      <c r="A15" s="4" t="s">
        <v>119</v>
      </c>
      <c r="B15" s="8" t="s">
        <v>21</v>
      </c>
      <c r="C15" s="8" t="s">
        <v>120</v>
      </c>
      <c r="D15" s="8" t="s">
        <v>90</v>
      </c>
      <c r="E15" s="4" t="s">
        <v>91</v>
      </c>
      <c r="F15" s="4" t="s">
        <v>25</v>
      </c>
      <c r="G15" s="5">
        <v>31500</v>
      </c>
      <c r="H15" s="5" t="s">
        <v>41</v>
      </c>
      <c r="I15" s="5" t="s">
        <v>121</v>
      </c>
      <c r="J15" s="8" t="s">
        <v>489</v>
      </c>
      <c r="K15" s="8" t="s">
        <v>490</v>
      </c>
      <c r="L15" s="8" t="s">
        <v>122</v>
      </c>
      <c r="M15" s="8" t="s">
        <v>29</v>
      </c>
      <c r="N15" s="8" t="str">
        <f>IF(ISBLANK(Table13[[#This Row],[Dealer_Name]]), "UNKNOWN", Table13[[#This Row],[Dealer_Name]])</f>
        <v>Toyota Center</v>
      </c>
      <c r="O15" s="8" t="s">
        <v>30</v>
      </c>
      <c r="P15" s="8" t="s">
        <v>31</v>
      </c>
      <c r="Q15" s="10" t="s">
        <v>123</v>
      </c>
      <c r="R15" s="13" t="str">
        <f>IF(ISBLANK(Table13[[#This Row],[Engine_Size]]), "UNKNOWN",Table13[[#This Row],[Engine_Size]])</f>
        <v>4.0L</v>
      </c>
      <c r="S15" s="4" t="s">
        <v>124</v>
      </c>
      <c r="T15" s="8" t="str">
        <f>IF(ISBLANK(Table13[[#This Row],[Color]]), "UNKNOWN", Table13[[#This Row],[Color]])</f>
        <v>Yellow</v>
      </c>
      <c r="U15" s="13">
        <v>40000</v>
      </c>
      <c r="V15" s="4">
        <v>2017</v>
      </c>
      <c r="W15" s="4">
        <v>202408</v>
      </c>
      <c r="X15" s="15">
        <f t="shared" si="0"/>
        <v>45535</v>
      </c>
      <c r="Y15" s="4" t="s">
        <v>108</v>
      </c>
      <c r="Z15" s="4" t="s">
        <v>79</v>
      </c>
    </row>
    <row r="16" spans="1:26" x14ac:dyDescent="0.2">
      <c r="A16" s="4" t="s">
        <v>125</v>
      </c>
      <c r="B16" s="8" t="s">
        <v>21</v>
      </c>
      <c r="C16" s="8" t="s">
        <v>110</v>
      </c>
      <c r="D16" s="8" t="s">
        <v>90</v>
      </c>
      <c r="E16" s="4" t="s">
        <v>482</v>
      </c>
      <c r="F16" s="4" t="s">
        <v>485</v>
      </c>
      <c r="G16" s="5">
        <v>43000</v>
      </c>
      <c r="H16" s="5" t="s">
        <v>92</v>
      </c>
      <c r="I16" s="5" t="s">
        <v>126</v>
      </c>
      <c r="J16" s="8" t="s">
        <v>491</v>
      </c>
      <c r="K16" s="8" t="s">
        <v>475</v>
      </c>
      <c r="L16" s="8" t="s">
        <v>127</v>
      </c>
      <c r="M16" s="8" t="s">
        <v>44</v>
      </c>
      <c r="N16" s="8" t="str">
        <f>IF(ISBLANK(Table13[[#This Row],[Dealer_Name]]), "UNKNOWN", Table13[[#This Row],[Dealer_Name]])</f>
        <v>Hyundai Plus</v>
      </c>
      <c r="O16" s="8" t="s">
        <v>30</v>
      </c>
      <c r="P16" s="8" t="s">
        <v>31</v>
      </c>
      <c r="Q16" s="10" t="s">
        <v>128</v>
      </c>
      <c r="R16" s="13" t="str">
        <f>IF(ISBLANK(Table13[[#This Row],[Engine_Size]]), "UNKNOWN",Table13[[#This Row],[Engine_Size]])</f>
        <v>3.8L</v>
      </c>
      <c r="S16" s="4" t="s">
        <v>46</v>
      </c>
      <c r="T16" s="8" t="str">
        <f>IF(ISBLANK(Table13[[#This Row],[Color]]), "UNKNOWN", Table13[[#This Row],[Color]])</f>
        <v>Black</v>
      </c>
      <c r="U16" s="13">
        <v>42000</v>
      </c>
      <c r="V16" s="4">
        <v>2017</v>
      </c>
      <c r="W16" s="4">
        <v>202408</v>
      </c>
      <c r="X16" s="15">
        <f t="shared" si="0"/>
        <v>45535</v>
      </c>
      <c r="Y16" s="4" t="s">
        <v>108</v>
      </c>
      <c r="Z16" s="4" t="s">
        <v>79</v>
      </c>
    </row>
    <row r="17" spans="1:26" x14ac:dyDescent="0.2">
      <c r="A17" s="4" t="s">
        <v>129</v>
      </c>
      <c r="B17" s="8" t="s">
        <v>21</v>
      </c>
      <c r="C17" s="8" t="s">
        <v>130</v>
      </c>
      <c r="D17" s="8" t="s">
        <v>90</v>
      </c>
      <c r="E17" s="4" t="s">
        <v>91</v>
      </c>
      <c r="F17" s="4" t="s">
        <v>25</v>
      </c>
      <c r="G17" s="5">
        <v>35800</v>
      </c>
      <c r="H17" s="5" t="s">
        <v>41</v>
      </c>
      <c r="I17" s="5" t="s">
        <v>131</v>
      </c>
      <c r="J17" s="8" t="s">
        <v>492</v>
      </c>
      <c r="K17" s="8" t="s">
        <v>493</v>
      </c>
      <c r="L17" s="8" t="s">
        <v>132</v>
      </c>
      <c r="M17" s="8" t="s">
        <v>29</v>
      </c>
      <c r="N17" s="8" t="str">
        <f>IF(ISBLANK(Table13[[#This Row],[Dealer_Name]]), "UNKNOWN", Table13[[#This Row],[Dealer_Name]])</f>
        <v>Toyota Center</v>
      </c>
      <c r="O17" s="8" t="s">
        <v>30</v>
      </c>
      <c r="P17" s="8" t="s">
        <v>31</v>
      </c>
      <c r="Q17" s="10" t="s">
        <v>133</v>
      </c>
      <c r="R17" s="13" t="str">
        <f>IF(ISBLANK(Table13[[#This Row],[Engine_Size]]), "UNKNOWN",Table13[[#This Row],[Engine_Size]])</f>
        <v>2.7L</v>
      </c>
      <c r="S17" s="4" t="s">
        <v>54</v>
      </c>
      <c r="T17" s="8" t="str">
        <f>IF(ISBLANK(Table13[[#This Row],[Color]]), "UNKNOWN", Table13[[#This Row],[Color]])</f>
        <v>Silver</v>
      </c>
      <c r="U17" s="13">
        <v>24000</v>
      </c>
      <c r="V17" s="4">
        <v>2020</v>
      </c>
      <c r="W17" s="4">
        <v>202409</v>
      </c>
      <c r="X17" s="15">
        <f t="shared" si="0"/>
        <v>45565</v>
      </c>
      <c r="Y17" s="4" t="s">
        <v>134</v>
      </c>
      <c r="Z17" s="4" t="s">
        <v>79</v>
      </c>
    </row>
    <row r="18" spans="1:26" x14ac:dyDescent="0.2">
      <c r="A18" s="4" t="s">
        <v>135</v>
      </c>
      <c r="B18" s="8" t="s">
        <v>21</v>
      </c>
      <c r="C18" s="8" t="s">
        <v>37</v>
      </c>
      <c r="D18" s="8" t="s">
        <v>38</v>
      </c>
      <c r="E18" s="4" t="s">
        <v>39</v>
      </c>
      <c r="F18" s="4" t="s">
        <v>40</v>
      </c>
      <c r="G18" s="5">
        <v>27000</v>
      </c>
      <c r="H18" s="5" t="s">
        <v>41</v>
      </c>
      <c r="I18" s="5" t="s">
        <v>136</v>
      </c>
      <c r="J18" s="8" t="s">
        <v>494</v>
      </c>
      <c r="K18" s="8" t="s">
        <v>472</v>
      </c>
      <c r="L18" s="8" t="s">
        <v>137</v>
      </c>
      <c r="M18" s="8" t="s">
        <v>138</v>
      </c>
      <c r="N18" s="8" t="str">
        <f>IF(ISBLANK(Table13[[#This Row],[Dealer_Name]]), "UNKNOWN", Table13[[#This Row],[Dealer_Name]])</f>
        <v>hyundai plus</v>
      </c>
      <c r="O18" s="8" t="s">
        <v>30</v>
      </c>
      <c r="P18" s="8" t="s">
        <v>31</v>
      </c>
      <c r="Q18" s="10" t="s">
        <v>45</v>
      </c>
      <c r="R18" s="13" t="str">
        <f>IF(ISBLANK(Table13[[#This Row],[Engine_Size]]), "UNKNOWN",Table13[[#This Row],[Engine_Size]])</f>
        <v>2.4L</v>
      </c>
      <c r="S18" s="4" t="s">
        <v>61</v>
      </c>
      <c r="T18" s="8" t="str">
        <f>IF(ISBLANK(Table13[[#This Row],[Color]]), "UNKNOWN", Table13[[#This Row],[Color]])</f>
        <v>Blue</v>
      </c>
      <c r="U18" s="13">
        <v>31000</v>
      </c>
      <c r="V18" s="4">
        <v>2019</v>
      </c>
      <c r="W18" s="4">
        <v>202409</v>
      </c>
      <c r="X18" s="15">
        <f t="shared" si="0"/>
        <v>45565</v>
      </c>
      <c r="Y18" s="4" t="s">
        <v>134</v>
      </c>
      <c r="Z18" s="4" t="s">
        <v>79</v>
      </c>
    </row>
    <row r="19" spans="1:26" x14ac:dyDescent="0.2">
      <c r="A19" s="4" t="s">
        <v>139</v>
      </c>
      <c r="B19" s="8" t="s">
        <v>21</v>
      </c>
      <c r="C19" s="8" t="s">
        <v>110</v>
      </c>
      <c r="D19" s="8" t="s">
        <v>90</v>
      </c>
      <c r="E19" s="4" t="s">
        <v>482</v>
      </c>
      <c r="F19" s="4" t="s">
        <v>485</v>
      </c>
      <c r="G19" s="5">
        <v>43000</v>
      </c>
      <c r="H19" s="5" t="s">
        <v>92</v>
      </c>
      <c r="I19" s="5" t="s">
        <v>140</v>
      </c>
      <c r="J19" s="8" t="s">
        <v>495</v>
      </c>
      <c r="K19" s="8" t="s">
        <v>496</v>
      </c>
      <c r="L19" s="8" t="s">
        <v>141</v>
      </c>
      <c r="M19" s="8" t="s">
        <v>142</v>
      </c>
      <c r="N19" s="8" t="str">
        <f>IF(ISBLANK(Table13[[#This Row],[Dealer_Name]]), "UNKNOWN", Table13[[#This Row],[Dealer_Name]])</f>
        <v>Jeep Nation</v>
      </c>
      <c r="O19" s="8" t="s">
        <v>85</v>
      </c>
      <c r="P19" s="8" t="s">
        <v>31</v>
      </c>
      <c r="Q19" s="10" t="s">
        <v>45</v>
      </c>
      <c r="R19" s="13" t="str">
        <f>IF(ISBLANK(Table13[[#This Row],[Engine_Size]]), "UNKNOWN",Table13[[#This Row],[Engine_Size]])</f>
        <v>2.4L</v>
      </c>
      <c r="S19" s="4" t="s">
        <v>143</v>
      </c>
      <c r="T19" s="8" t="str">
        <f>IF(ISBLANK(Table13[[#This Row],[Color]]), "UNKNOWN", Table13[[#This Row],[Color]])</f>
        <v>Green</v>
      </c>
      <c r="U19" s="13">
        <v>34000</v>
      </c>
      <c r="V19" s="4">
        <v>2018</v>
      </c>
      <c r="W19" s="4">
        <v>202409</v>
      </c>
      <c r="X19" s="15">
        <f t="shared" si="0"/>
        <v>45565</v>
      </c>
      <c r="Y19" s="4" t="s">
        <v>134</v>
      </c>
      <c r="Z19" s="4" t="s">
        <v>79</v>
      </c>
    </row>
    <row r="20" spans="1:26" x14ac:dyDescent="0.2">
      <c r="A20" s="4" t="s">
        <v>144</v>
      </c>
      <c r="B20" s="8" t="s">
        <v>21</v>
      </c>
      <c r="C20" s="8" t="s">
        <v>110</v>
      </c>
      <c r="D20" s="8" t="s">
        <v>90</v>
      </c>
      <c r="E20" s="4" t="s">
        <v>482</v>
      </c>
      <c r="F20" s="4" t="s">
        <v>485</v>
      </c>
      <c r="G20" s="5">
        <v>43000</v>
      </c>
      <c r="H20" s="5" t="s">
        <v>92</v>
      </c>
      <c r="I20" s="5" t="s">
        <v>145</v>
      </c>
      <c r="J20" s="8" t="s">
        <v>497</v>
      </c>
      <c r="K20" s="8" t="s">
        <v>477</v>
      </c>
      <c r="L20" s="8" t="s">
        <v>146</v>
      </c>
      <c r="M20" s="8" t="s">
        <v>147</v>
      </c>
      <c r="N20" s="8" t="str">
        <f>IF(ISBLANK(Table13[[#This Row],[Dealer_Name]]), "UNKNOWN", Table13[[#This Row],[Dealer_Name]])</f>
        <v>Metro Honda</v>
      </c>
      <c r="O20" s="8" t="s">
        <v>52</v>
      </c>
      <c r="P20" s="8" t="s">
        <v>31</v>
      </c>
      <c r="Q20" s="10" t="s">
        <v>53</v>
      </c>
      <c r="R20" s="13" t="str">
        <f>IF(ISBLANK(Table13[[#This Row],[Engine_Size]]), "UNKNOWN",Table13[[#This Row],[Engine_Size]])</f>
        <v>1.5L</v>
      </c>
      <c r="S20" s="4" t="s">
        <v>61</v>
      </c>
      <c r="T20" s="8" t="str">
        <f>IF(ISBLANK(Table13[[#This Row],[Color]]), "UNKNOWN", Table13[[#This Row],[Color]])</f>
        <v>Blue</v>
      </c>
      <c r="U20" s="13">
        <v>21000</v>
      </c>
      <c r="V20" s="4">
        <v>2021</v>
      </c>
      <c r="W20" s="4">
        <v>202409</v>
      </c>
      <c r="X20" s="15">
        <f t="shared" si="0"/>
        <v>45565</v>
      </c>
      <c r="Y20" s="4" t="s">
        <v>134</v>
      </c>
      <c r="Z20" s="4" t="s">
        <v>79</v>
      </c>
    </row>
    <row r="21" spans="1:26" x14ac:dyDescent="0.2">
      <c r="A21" s="4" t="s">
        <v>148</v>
      </c>
      <c r="B21" s="8" t="s">
        <v>21</v>
      </c>
      <c r="C21" s="8" t="s">
        <v>149</v>
      </c>
      <c r="D21" s="8" t="s">
        <v>23</v>
      </c>
      <c r="E21" s="4" t="s">
        <v>464</v>
      </c>
      <c r="F21" s="4" t="s">
        <v>25</v>
      </c>
      <c r="G21" s="5">
        <v>18500</v>
      </c>
      <c r="H21" s="5" t="s">
        <v>26</v>
      </c>
      <c r="I21" s="5" t="s">
        <v>150</v>
      </c>
      <c r="J21" s="8" t="s">
        <v>498</v>
      </c>
      <c r="K21" s="8" t="s">
        <v>484</v>
      </c>
      <c r="L21" s="8" t="s">
        <v>151</v>
      </c>
      <c r="M21" s="8" t="s">
        <v>76</v>
      </c>
      <c r="N21" s="8" t="str">
        <f>IF(ISBLANK(Table13[[#This Row],[Dealer_Name]]), "UNKNOWN", Table13[[#This Row],[Dealer_Name]])</f>
        <v>toyota center</v>
      </c>
      <c r="O21" s="8" t="s">
        <v>30</v>
      </c>
      <c r="P21" s="8" t="s">
        <v>31</v>
      </c>
      <c r="Q21" s="10" t="s">
        <v>53</v>
      </c>
      <c r="R21" s="13" t="str">
        <f>IF(ISBLANK(Table13[[#This Row],[Engine_Size]]), "UNKNOWN",Table13[[#This Row],[Engine_Size]])</f>
        <v>1.5L</v>
      </c>
      <c r="S21" s="4" t="s">
        <v>70</v>
      </c>
      <c r="T21" s="8" t="str">
        <f>IF(ISBLANK(Table13[[#This Row],[Color]]), "UNKNOWN", Table13[[#This Row],[Color]])</f>
        <v>Red</v>
      </c>
      <c r="U21" s="13">
        <v>18000</v>
      </c>
      <c r="V21" s="4">
        <v>2022</v>
      </c>
      <c r="W21" s="4">
        <v>202409</v>
      </c>
      <c r="X21" s="15">
        <f t="shared" si="0"/>
        <v>45565</v>
      </c>
      <c r="Y21" s="4" t="s">
        <v>134</v>
      </c>
      <c r="Z21" s="4" t="s">
        <v>79</v>
      </c>
    </row>
    <row r="22" spans="1:26" x14ac:dyDescent="0.2">
      <c r="A22" s="4" t="s">
        <v>152</v>
      </c>
      <c r="B22" s="8" t="s">
        <v>21</v>
      </c>
      <c r="C22" s="8" t="s">
        <v>153</v>
      </c>
      <c r="D22" s="8" t="s">
        <v>90</v>
      </c>
      <c r="E22" s="4" t="s">
        <v>91</v>
      </c>
      <c r="F22" s="4" t="s">
        <v>25</v>
      </c>
      <c r="G22" s="5">
        <v>26500</v>
      </c>
      <c r="H22" s="5" t="s">
        <v>41</v>
      </c>
      <c r="I22" s="5" t="s">
        <v>154</v>
      </c>
      <c r="J22" s="8" t="s">
        <v>499</v>
      </c>
      <c r="K22" s="8" t="s">
        <v>490</v>
      </c>
      <c r="L22" s="8" t="s">
        <v>155</v>
      </c>
      <c r="M22" s="8" t="s">
        <v>29</v>
      </c>
      <c r="N22" s="8" t="str">
        <f>IF(ISBLANK(Table13[[#This Row],[Dealer_Name]]), "UNKNOWN", Table13[[#This Row],[Dealer_Name]])</f>
        <v>Toyota Center</v>
      </c>
      <c r="O22" s="8" t="s">
        <v>30</v>
      </c>
      <c r="P22" s="8" t="s">
        <v>31</v>
      </c>
      <c r="Q22" s="10" t="s">
        <v>156</v>
      </c>
      <c r="R22" s="13" t="str">
        <f>IF(ISBLANK(Table13[[#This Row],[Engine_Size]]), "UNKNOWN",Table13[[#This Row],[Engine_Size]])</f>
        <v>2.0L</v>
      </c>
      <c r="S22" s="4" t="s">
        <v>46</v>
      </c>
      <c r="T22" s="8" t="str">
        <f>IF(ISBLANK(Table13[[#This Row],[Color]]), "UNKNOWN", Table13[[#This Row],[Color]])</f>
        <v>Black</v>
      </c>
      <c r="U22" s="13">
        <v>18000</v>
      </c>
      <c r="V22" s="4">
        <v>2022</v>
      </c>
      <c r="W22" s="4">
        <v>202410</v>
      </c>
      <c r="X22" s="15">
        <f t="shared" si="0"/>
        <v>45596</v>
      </c>
      <c r="Y22" s="4" t="s">
        <v>157</v>
      </c>
      <c r="Z22" s="4" t="s">
        <v>158</v>
      </c>
    </row>
    <row r="23" spans="1:26" x14ac:dyDescent="0.2">
      <c r="A23" s="4" t="s">
        <v>159</v>
      </c>
      <c r="B23" s="8" t="s">
        <v>21</v>
      </c>
      <c r="C23" s="8" t="s">
        <v>63</v>
      </c>
      <c r="D23" s="8" t="s">
        <v>23</v>
      </c>
      <c r="E23" s="4" t="s">
        <v>473</v>
      </c>
      <c r="F23" s="4" t="s">
        <v>25</v>
      </c>
      <c r="G23" s="5">
        <v>28000</v>
      </c>
      <c r="H23" s="5" t="s">
        <v>41</v>
      </c>
      <c r="I23" s="5" t="s">
        <v>160</v>
      </c>
      <c r="J23" s="8" t="s">
        <v>500</v>
      </c>
      <c r="K23" s="8" t="s">
        <v>475</v>
      </c>
      <c r="L23" s="8" t="s">
        <v>161</v>
      </c>
      <c r="M23" s="8" t="s">
        <v>44</v>
      </c>
      <c r="N23" s="8" t="str">
        <f>IF(ISBLANK(Table13[[#This Row],[Dealer_Name]]), "UNKNOWN", Table13[[#This Row],[Dealer_Name]])</f>
        <v>Hyundai Plus</v>
      </c>
      <c r="O23" s="8" t="s">
        <v>30</v>
      </c>
      <c r="P23" s="8" t="s">
        <v>31</v>
      </c>
      <c r="Q23" s="10" t="s">
        <v>156</v>
      </c>
      <c r="R23" s="13" t="str">
        <f>IF(ISBLANK(Table13[[#This Row],[Engine_Size]]), "UNKNOWN",Table13[[#This Row],[Engine_Size]])</f>
        <v>2.0L</v>
      </c>
      <c r="S23" s="4" t="s">
        <v>61</v>
      </c>
      <c r="T23" s="8" t="str">
        <f>IF(ISBLANK(Table13[[#This Row],[Color]]), "UNKNOWN", Table13[[#This Row],[Color]])</f>
        <v>Blue</v>
      </c>
      <c r="U23" s="13">
        <v>15000</v>
      </c>
      <c r="V23" s="4">
        <v>2022</v>
      </c>
      <c r="W23" s="4">
        <v>202410</v>
      </c>
      <c r="X23" s="15">
        <f t="shared" si="0"/>
        <v>45596</v>
      </c>
      <c r="Y23" s="4" t="s">
        <v>157</v>
      </c>
      <c r="Z23" s="4" t="s">
        <v>158</v>
      </c>
    </row>
    <row r="24" spans="1:26" x14ac:dyDescent="0.2">
      <c r="A24" s="4" t="s">
        <v>162</v>
      </c>
      <c r="B24" s="8" t="s">
        <v>21</v>
      </c>
      <c r="C24" s="8" t="s">
        <v>103</v>
      </c>
      <c r="D24" s="8" t="s">
        <v>90</v>
      </c>
      <c r="E24" s="4" t="s">
        <v>482</v>
      </c>
      <c r="F24" s="4" t="s">
        <v>25</v>
      </c>
      <c r="G24" s="5">
        <v>32000</v>
      </c>
      <c r="H24" s="5" t="s">
        <v>41</v>
      </c>
      <c r="I24" s="5" t="s">
        <v>163</v>
      </c>
      <c r="J24" s="8" t="s">
        <v>501</v>
      </c>
      <c r="K24" s="8" t="s">
        <v>479</v>
      </c>
      <c r="L24" s="8" t="s">
        <v>164</v>
      </c>
      <c r="M24" s="8" t="s">
        <v>165</v>
      </c>
      <c r="N24" s="8" t="str">
        <f>IF(ISBLANK(Table13[[#This Row],[Dealer_Name]]), "UNKNOWN", Table13[[#This Row],[Dealer_Name]])</f>
        <v>Tesla Direct</v>
      </c>
      <c r="O24" s="8" t="s">
        <v>30</v>
      </c>
      <c r="P24" s="8" t="s">
        <v>166</v>
      </c>
      <c r="R24" s="14" t="str">
        <f>IF(ISBLANK(Table13[[#This Row],[Engine_Size]]), "UNKNOWN",Table13[[#This Row],[Engine_Size]])</f>
        <v>UNKNOWN</v>
      </c>
      <c r="S24" s="4" t="s">
        <v>54</v>
      </c>
      <c r="T24" s="8" t="str">
        <f>IF(ISBLANK(Table13[[#This Row],[Color]]), "UNKNOWN", Table13[[#This Row],[Color]])</f>
        <v>Silver</v>
      </c>
      <c r="U24" s="13">
        <v>2500</v>
      </c>
      <c r="V24" s="4">
        <v>2024</v>
      </c>
      <c r="W24" s="4">
        <v>202410</v>
      </c>
      <c r="X24" s="15">
        <f t="shared" si="0"/>
        <v>45596</v>
      </c>
      <c r="Y24" s="4" t="s">
        <v>157</v>
      </c>
      <c r="Z24" s="4" t="s">
        <v>158</v>
      </c>
    </row>
    <row r="25" spans="1:26" x14ac:dyDescent="0.2">
      <c r="A25" s="4" t="s">
        <v>167</v>
      </c>
      <c r="B25" s="8" t="s">
        <v>21</v>
      </c>
      <c r="C25" s="8" t="s">
        <v>37</v>
      </c>
      <c r="D25" s="8" t="s">
        <v>38</v>
      </c>
      <c r="E25" s="4" t="s">
        <v>39</v>
      </c>
      <c r="F25" s="4" t="s">
        <v>40</v>
      </c>
      <c r="G25" s="5">
        <v>27000</v>
      </c>
      <c r="H25" s="5" t="s">
        <v>41</v>
      </c>
      <c r="I25" s="5" t="s">
        <v>168</v>
      </c>
      <c r="J25" s="8" t="s">
        <v>502</v>
      </c>
      <c r="K25" s="8" t="s">
        <v>468</v>
      </c>
      <c r="L25" s="8" t="s">
        <v>169</v>
      </c>
      <c r="M25" s="8" t="s">
        <v>147</v>
      </c>
      <c r="N25" s="8" t="str">
        <f>IF(ISBLANK(Table13[[#This Row],[Dealer_Name]]), "UNKNOWN", Table13[[#This Row],[Dealer_Name]])</f>
        <v>Metro Honda</v>
      </c>
      <c r="O25" s="8" t="s">
        <v>52</v>
      </c>
      <c r="P25" s="8" t="s">
        <v>39</v>
      </c>
      <c r="Q25" s="10" t="s">
        <v>53</v>
      </c>
      <c r="R25" s="13" t="str">
        <f>IF(ISBLANK(Table13[[#This Row],[Engine_Size]]), "UNKNOWN",Table13[[#This Row],[Engine_Size]])</f>
        <v>1.5L</v>
      </c>
      <c r="S25" s="4" t="s">
        <v>33</v>
      </c>
      <c r="T25" s="8" t="str">
        <f>IF(ISBLANK(Table13[[#This Row],[Color]]), "UNKNOWN", Table13[[#This Row],[Color]])</f>
        <v>White</v>
      </c>
      <c r="U25" s="13">
        <v>11000</v>
      </c>
      <c r="V25" s="4">
        <v>2023</v>
      </c>
      <c r="W25" s="4">
        <v>202410</v>
      </c>
      <c r="X25" s="15">
        <f t="shared" si="0"/>
        <v>45596</v>
      </c>
      <c r="Y25" s="4" t="s">
        <v>157</v>
      </c>
      <c r="Z25" s="4" t="s">
        <v>158</v>
      </c>
    </row>
    <row r="26" spans="1:26" x14ac:dyDescent="0.2">
      <c r="A26" s="4" t="s">
        <v>170</v>
      </c>
      <c r="B26" s="8" t="s">
        <v>21</v>
      </c>
      <c r="C26" s="8" t="s">
        <v>115</v>
      </c>
      <c r="D26" s="8" t="s">
        <v>23</v>
      </c>
      <c r="E26" s="4" t="s">
        <v>73</v>
      </c>
      <c r="F26" s="4" t="s">
        <v>25</v>
      </c>
      <c r="G26" s="5">
        <v>58500</v>
      </c>
      <c r="H26" s="5" t="s">
        <v>92</v>
      </c>
      <c r="I26" s="5" t="s">
        <v>171</v>
      </c>
      <c r="J26" s="8" t="s">
        <v>503</v>
      </c>
      <c r="K26" s="8" t="s">
        <v>493</v>
      </c>
      <c r="L26" s="8" t="s">
        <v>172</v>
      </c>
      <c r="M26" s="8" t="s">
        <v>29</v>
      </c>
      <c r="N26" s="8" t="str">
        <f>IF(ISBLANK(Table13[[#This Row],[Dealer_Name]]), "UNKNOWN", Table13[[#This Row],[Dealer_Name]])</f>
        <v>Toyota Center</v>
      </c>
      <c r="O26" s="8" t="s">
        <v>30</v>
      </c>
      <c r="P26" s="8" t="s">
        <v>118</v>
      </c>
      <c r="R26" s="14" t="str">
        <f>IF(ISBLANK(Table13[[#This Row],[Engine_Size]]), "UNKNOWN",Table13[[#This Row],[Engine_Size]])</f>
        <v>UNKNOWN</v>
      </c>
      <c r="S26" s="4" t="s">
        <v>61</v>
      </c>
      <c r="T26" s="8" t="str">
        <f>IF(ISBLANK(Table13[[#This Row],[Color]]), "UNKNOWN", Table13[[#This Row],[Color]])</f>
        <v>Blue</v>
      </c>
      <c r="U26" s="13">
        <v>5000</v>
      </c>
      <c r="V26" s="4">
        <v>2024</v>
      </c>
      <c r="W26" s="4">
        <v>202410</v>
      </c>
      <c r="X26" s="15">
        <f t="shared" si="0"/>
        <v>45596</v>
      </c>
      <c r="Y26" s="4" t="s">
        <v>157</v>
      </c>
      <c r="Z26" s="4" t="s">
        <v>158</v>
      </c>
    </row>
    <row r="27" spans="1:26" x14ac:dyDescent="0.2">
      <c r="A27" s="4" t="s">
        <v>173</v>
      </c>
      <c r="B27" s="8" t="s">
        <v>21</v>
      </c>
      <c r="C27" s="8" t="s">
        <v>103</v>
      </c>
      <c r="D27" s="8" t="s">
        <v>90</v>
      </c>
      <c r="E27" s="4" t="s">
        <v>482</v>
      </c>
      <c r="F27" s="4" t="s">
        <v>25</v>
      </c>
      <c r="G27" s="5">
        <v>32000</v>
      </c>
      <c r="H27" s="5" t="s">
        <v>41</v>
      </c>
      <c r="I27" s="5" t="s">
        <v>174</v>
      </c>
      <c r="J27" s="8" t="s">
        <v>504</v>
      </c>
      <c r="K27" s="8" t="s">
        <v>496</v>
      </c>
      <c r="L27" s="8" t="s">
        <v>175</v>
      </c>
      <c r="M27" s="8" t="s">
        <v>142</v>
      </c>
      <c r="N27" s="8" t="str">
        <f>IF(ISBLANK(Table13[[#This Row],[Dealer_Name]]), "UNKNOWN", Table13[[#This Row],[Dealer_Name]])</f>
        <v>Jeep Nation</v>
      </c>
      <c r="O27" s="8" t="s">
        <v>85</v>
      </c>
      <c r="P27" s="8" t="s">
        <v>39</v>
      </c>
      <c r="Q27" s="10" t="s">
        <v>156</v>
      </c>
      <c r="R27" s="13" t="str">
        <f>IF(ISBLANK(Table13[[#This Row],[Engine_Size]]), "UNKNOWN",Table13[[#This Row],[Engine_Size]])</f>
        <v>2.0L</v>
      </c>
      <c r="S27" s="4" t="s">
        <v>46</v>
      </c>
      <c r="T27" s="8" t="str">
        <f>IF(ISBLANK(Table13[[#This Row],[Color]]), "UNKNOWN", Table13[[#This Row],[Color]])</f>
        <v>Black</v>
      </c>
      <c r="U27" s="13">
        <v>6000</v>
      </c>
      <c r="V27" s="4">
        <v>2024</v>
      </c>
      <c r="W27" s="4">
        <v>202410</v>
      </c>
      <c r="X27" s="15">
        <f t="shared" si="0"/>
        <v>45596</v>
      </c>
      <c r="Y27" s="4" t="s">
        <v>157</v>
      </c>
      <c r="Z27" s="4" t="s">
        <v>158</v>
      </c>
    </row>
    <row r="28" spans="1:26" x14ac:dyDescent="0.2">
      <c r="A28" s="4" t="s">
        <v>176</v>
      </c>
      <c r="B28" s="8" t="s">
        <v>21</v>
      </c>
      <c r="C28" s="8" t="s">
        <v>110</v>
      </c>
      <c r="D28" s="8" t="s">
        <v>90</v>
      </c>
      <c r="E28" s="4" t="s">
        <v>482</v>
      </c>
      <c r="F28" s="4" t="s">
        <v>485</v>
      </c>
      <c r="G28" s="5">
        <v>43000</v>
      </c>
      <c r="H28" s="5" t="s">
        <v>92</v>
      </c>
      <c r="I28" s="5" t="s">
        <v>177</v>
      </c>
      <c r="J28" s="8" t="s">
        <v>505</v>
      </c>
      <c r="K28" s="8" t="s">
        <v>484</v>
      </c>
      <c r="L28" s="8" t="s">
        <v>178</v>
      </c>
      <c r="M28" s="8" t="s">
        <v>29</v>
      </c>
      <c r="N28" s="8" t="str">
        <f>IF(ISBLANK(Table13[[#This Row],[Dealer_Name]]), "UNKNOWN", Table13[[#This Row],[Dealer_Name]])</f>
        <v>Toyota Center</v>
      </c>
      <c r="O28" s="8" t="s">
        <v>30</v>
      </c>
      <c r="P28" s="8" t="s">
        <v>166</v>
      </c>
      <c r="R28" s="14" t="str">
        <f>IF(ISBLANK(Table13[[#This Row],[Engine_Size]]), "UNKNOWN",Table13[[#This Row],[Engine_Size]])</f>
        <v>UNKNOWN</v>
      </c>
      <c r="S28" s="4" t="s">
        <v>61</v>
      </c>
      <c r="T28" s="8" t="str">
        <f>IF(ISBLANK(Table13[[#This Row],[Color]]), "UNKNOWN", Table13[[#This Row],[Color]])</f>
        <v>Blue</v>
      </c>
      <c r="U28" s="13">
        <v>4500</v>
      </c>
      <c r="V28" s="4">
        <v>2024</v>
      </c>
      <c r="W28" s="4">
        <v>202411</v>
      </c>
      <c r="X28" s="15">
        <f t="shared" si="0"/>
        <v>45626</v>
      </c>
      <c r="Y28" s="4" t="s">
        <v>179</v>
      </c>
      <c r="Z28" s="4" t="s">
        <v>158</v>
      </c>
    </row>
    <row r="29" spans="1:26" x14ac:dyDescent="0.2">
      <c r="A29" s="4" t="s">
        <v>180</v>
      </c>
      <c r="B29" s="8" t="s">
        <v>21</v>
      </c>
      <c r="C29" s="8" t="s">
        <v>63</v>
      </c>
      <c r="D29" s="8" t="s">
        <v>23</v>
      </c>
      <c r="E29" s="4" t="s">
        <v>473</v>
      </c>
      <c r="F29" s="4" t="s">
        <v>25</v>
      </c>
      <c r="G29" s="5">
        <v>28000</v>
      </c>
      <c r="H29" s="5" t="s">
        <v>41</v>
      </c>
      <c r="I29" s="5" t="s">
        <v>181</v>
      </c>
      <c r="J29" s="8" t="s">
        <v>506</v>
      </c>
      <c r="K29" s="8" t="s">
        <v>487</v>
      </c>
      <c r="L29" s="8" t="s">
        <v>182</v>
      </c>
      <c r="M29" s="8" t="s">
        <v>183</v>
      </c>
      <c r="N29" s="8" t="str">
        <f>IF(ISBLANK(Table13[[#This Row],[Dealer_Name]]), "UNKNOWN", Table13[[#This Row],[Dealer_Name]])</f>
        <v>Nissan Direct</v>
      </c>
      <c r="O29" s="8" t="s">
        <v>85</v>
      </c>
      <c r="P29" s="8" t="s">
        <v>166</v>
      </c>
      <c r="R29" s="14" t="str">
        <f>IF(ISBLANK(Table13[[#This Row],[Engine_Size]]), "UNKNOWN",Table13[[#This Row],[Engine_Size]])</f>
        <v>UNKNOWN</v>
      </c>
      <c r="S29" s="4" t="s">
        <v>46</v>
      </c>
      <c r="T29" s="8" t="str">
        <f>IF(ISBLANK(Table13[[#This Row],[Color]]), "UNKNOWN", Table13[[#This Row],[Color]])</f>
        <v>Black</v>
      </c>
      <c r="U29" s="13">
        <v>3500</v>
      </c>
      <c r="V29" s="4">
        <v>2024</v>
      </c>
      <c r="W29" s="4">
        <v>202411</v>
      </c>
      <c r="X29" s="15">
        <f t="shared" si="0"/>
        <v>45626</v>
      </c>
      <c r="Y29" s="4" t="s">
        <v>179</v>
      </c>
      <c r="Z29" s="4" t="s">
        <v>158</v>
      </c>
    </row>
    <row r="30" spans="1:26" x14ac:dyDescent="0.2">
      <c r="A30" s="4" t="s">
        <v>184</v>
      </c>
      <c r="B30" s="8" t="s">
        <v>21</v>
      </c>
      <c r="C30" s="8" t="s">
        <v>115</v>
      </c>
      <c r="D30" s="8" t="s">
        <v>23</v>
      </c>
      <c r="E30" s="4" t="s">
        <v>73</v>
      </c>
      <c r="F30" s="4" t="s">
        <v>25</v>
      </c>
      <c r="G30" s="5">
        <v>58500</v>
      </c>
      <c r="H30" s="5" t="s">
        <v>92</v>
      </c>
      <c r="I30" s="5" t="s">
        <v>185</v>
      </c>
      <c r="J30" s="8" t="s">
        <v>507</v>
      </c>
      <c r="K30" s="8" t="s">
        <v>490</v>
      </c>
      <c r="L30" s="8" t="s">
        <v>186</v>
      </c>
      <c r="M30" s="8" t="s">
        <v>76</v>
      </c>
      <c r="N30" s="8" t="str">
        <f>IF(ISBLANK(Table13[[#This Row],[Dealer_Name]]), "UNKNOWN", Table13[[#This Row],[Dealer_Name]])</f>
        <v>toyota center</v>
      </c>
      <c r="O30" s="8" t="s">
        <v>30</v>
      </c>
      <c r="P30" s="8" t="s">
        <v>118</v>
      </c>
      <c r="R30" s="14" t="str">
        <f>IF(ISBLANK(Table13[[#This Row],[Engine_Size]]), "UNKNOWN",Table13[[#This Row],[Engine_Size]])</f>
        <v>UNKNOWN</v>
      </c>
      <c r="S30" s="4" t="s">
        <v>124</v>
      </c>
      <c r="T30" s="8" t="str">
        <f>IF(ISBLANK(Table13[[#This Row],[Color]]), "UNKNOWN", Table13[[#This Row],[Color]])</f>
        <v>Yellow</v>
      </c>
      <c r="U30" s="13">
        <v>6000</v>
      </c>
      <c r="V30" s="4">
        <v>2023</v>
      </c>
      <c r="W30" s="4">
        <v>202411</v>
      </c>
      <c r="X30" s="15">
        <f t="shared" si="0"/>
        <v>45626</v>
      </c>
      <c r="Y30" s="4" t="s">
        <v>179</v>
      </c>
      <c r="Z30" s="4" t="s">
        <v>158</v>
      </c>
    </row>
    <row r="31" spans="1:26" x14ac:dyDescent="0.2">
      <c r="A31" s="4" t="s">
        <v>187</v>
      </c>
      <c r="B31" s="8" t="s">
        <v>21</v>
      </c>
      <c r="C31" s="8" t="s">
        <v>63</v>
      </c>
      <c r="D31" s="8" t="s">
        <v>23</v>
      </c>
      <c r="E31" s="4" t="s">
        <v>473</v>
      </c>
      <c r="F31" s="4" t="s">
        <v>25</v>
      </c>
      <c r="G31" s="5">
        <v>28000</v>
      </c>
      <c r="H31" s="5" t="s">
        <v>41</v>
      </c>
      <c r="I31" s="5" t="s">
        <v>188</v>
      </c>
      <c r="J31" s="8" t="s">
        <v>508</v>
      </c>
      <c r="K31" s="8" t="s">
        <v>33</v>
      </c>
      <c r="L31" s="8" t="s">
        <v>189</v>
      </c>
      <c r="M31" s="8" t="s">
        <v>183</v>
      </c>
      <c r="N31" s="8" t="str">
        <f>IF(ISBLANK(Table13[[#This Row],[Dealer_Name]]), "UNKNOWN", Table13[[#This Row],[Dealer_Name]])</f>
        <v>Nissan Direct</v>
      </c>
      <c r="O31" s="8" t="s">
        <v>85</v>
      </c>
      <c r="P31" s="8" t="s">
        <v>31</v>
      </c>
      <c r="Q31" s="10" t="s">
        <v>190</v>
      </c>
      <c r="R31" s="13" t="str">
        <f>IF(ISBLANK(Table13[[#This Row],[Engine_Size]]), "UNKNOWN",Table13[[#This Row],[Engine_Size]])</f>
        <v>3.0L</v>
      </c>
      <c r="S31" s="4" t="s">
        <v>54</v>
      </c>
      <c r="T31" s="8" t="str">
        <f>IF(ISBLANK(Table13[[#This Row],[Color]]), "UNKNOWN", Table13[[#This Row],[Color]])</f>
        <v>Silver</v>
      </c>
      <c r="U31" s="13">
        <v>4000</v>
      </c>
      <c r="V31" s="4">
        <v>2024</v>
      </c>
      <c r="W31" s="4">
        <v>202411</v>
      </c>
      <c r="X31" s="15">
        <f t="shared" si="0"/>
        <v>45626</v>
      </c>
      <c r="Y31" s="4" t="s">
        <v>179</v>
      </c>
      <c r="Z31" s="4" t="s">
        <v>158</v>
      </c>
    </row>
    <row r="32" spans="1:26" x14ac:dyDescent="0.2">
      <c r="A32" s="4" t="s">
        <v>191</v>
      </c>
      <c r="B32" s="8" t="s">
        <v>21</v>
      </c>
      <c r="C32" s="8" t="s">
        <v>110</v>
      </c>
      <c r="D32" s="8" t="s">
        <v>90</v>
      </c>
      <c r="E32" s="4" t="s">
        <v>482</v>
      </c>
      <c r="F32" s="4" t="s">
        <v>485</v>
      </c>
      <c r="G32" s="5">
        <v>43000</v>
      </c>
      <c r="H32" s="5" t="s">
        <v>92</v>
      </c>
      <c r="I32" s="5" t="s">
        <v>192</v>
      </c>
      <c r="J32" s="8" t="s">
        <v>509</v>
      </c>
      <c r="K32" s="8" t="s">
        <v>477</v>
      </c>
      <c r="L32" s="8" t="s">
        <v>193</v>
      </c>
      <c r="M32" s="8" t="s">
        <v>142</v>
      </c>
      <c r="N32" s="8" t="str">
        <f>IF(ISBLANK(Table13[[#This Row],[Dealer_Name]]), "UNKNOWN", Table13[[#This Row],[Dealer_Name]])</f>
        <v>Jeep Nation</v>
      </c>
      <c r="O32" s="8" t="s">
        <v>85</v>
      </c>
      <c r="P32" s="8" t="s">
        <v>31</v>
      </c>
      <c r="Q32" s="10" t="s">
        <v>95</v>
      </c>
      <c r="R32" s="13" t="str">
        <f>IF(ISBLANK(Table13[[#This Row],[Engine_Size]]), "UNKNOWN",Table13[[#This Row],[Engine_Size]])</f>
        <v>5.7L</v>
      </c>
      <c r="S32" s="4" t="s">
        <v>46</v>
      </c>
      <c r="T32" s="8" t="str">
        <f>IF(ISBLANK(Table13[[#This Row],[Color]]), "UNKNOWN", Table13[[#This Row],[Color]])</f>
        <v>Black</v>
      </c>
      <c r="U32" s="13">
        <v>8000</v>
      </c>
      <c r="V32" s="4">
        <v>2023</v>
      </c>
      <c r="W32" s="4">
        <v>202411</v>
      </c>
      <c r="X32" s="15">
        <f t="shared" si="0"/>
        <v>45626</v>
      </c>
      <c r="Y32" s="4" t="s">
        <v>179</v>
      </c>
      <c r="Z32" s="4" t="s">
        <v>158</v>
      </c>
    </row>
    <row r="33" spans="1:26" x14ac:dyDescent="0.2">
      <c r="A33" s="4" t="s">
        <v>194</v>
      </c>
      <c r="B33" s="8" t="s">
        <v>21</v>
      </c>
      <c r="C33" s="8" t="s">
        <v>115</v>
      </c>
      <c r="D33" s="8" t="s">
        <v>23</v>
      </c>
      <c r="E33" s="4" t="s">
        <v>73</v>
      </c>
      <c r="F33" s="4" t="s">
        <v>25</v>
      </c>
      <c r="G33" s="5">
        <v>58500</v>
      </c>
      <c r="H33" s="5" t="s">
        <v>92</v>
      </c>
      <c r="I33" s="5" t="s">
        <v>195</v>
      </c>
      <c r="J33" s="8" t="s">
        <v>510</v>
      </c>
      <c r="K33" s="8" t="s">
        <v>493</v>
      </c>
      <c r="L33" s="8" t="s">
        <v>196</v>
      </c>
      <c r="M33" s="8" t="s">
        <v>29</v>
      </c>
      <c r="N33" s="8" t="str">
        <f>IF(ISBLANK(Table13[[#This Row],[Dealer_Name]]), "UNKNOWN", Table13[[#This Row],[Dealer_Name]])</f>
        <v>Toyota Center</v>
      </c>
      <c r="O33" s="8" t="s">
        <v>30</v>
      </c>
      <c r="P33" s="8" t="s">
        <v>118</v>
      </c>
      <c r="R33" s="14" t="str">
        <f>IF(ISBLANK(Table13[[#This Row],[Engine_Size]]), "UNKNOWN",Table13[[#This Row],[Engine_Size]])</f>
        <v>UNKNOWN</v>
      </c>
      <c r="S33" s="4" t="s">
        <v>61</v>
      </c>
      <c r="T33" s="8" t="str">
        <f>IF(ISBLANK(Table13[[#This Row],[Color]]), "UNKNOWN", Table13[[#This Row],[Color]])</f>
        <v>Blue</v>
      </c>
      <c r="U33" s="13">
        <v>3000</v>
      </c>
      <c r="V33" s="4">
        <v>2024</v>
      </c>
      <c r="W33" s="4">
        <v>202412</v>
      </c>
      <c r="X33" s="15">
        <f t="shared" si="0"/>
        <v>45657</v>
      </c>
      <c r="Y33" s="4" t="s">
        <v>197</v>
      </c>
      <c r="Z33" s="4" t="s">
        <v>158</v>
      </c>
    </row>
    <row r="34" spans="1:26" x14ac:dyDescent="0.2">
      <c r="A34" s="4" t="s">
        <v>198</v>
      </c>
      <c r="B34" s="8" t="s">
        <v>21</v>
      </c>
      <c r="C34" s="8" t="s">
        <v>103</v>
      </c>
      <c r="D34" s="8" t="s">
        <v>90</v>
      </c>
      <c r="E34" s="4" t="s">
        <v>482</v>
      </c>
      <c r="F34" s="4" t="s">
        <v>25</v>
      </c>
      <c r="G34" s="5">
        <v>32000</v>
      </c>
      <c r="H34" s="5" t="s">
        <v>41</v>
      </c>
      <c r="I34" s="5" t="s">
        <v>199</v>
      </c>
      <c r="J34" s="8" t="s">
        <v>511</v>
      </c>
      <c r="K34" s="8" t="s">
        <v>472</v>
      </c>
      <c r="L34" s="8" t="s">
        <v>200</v>
      </c>
      <c r="M34" s="8" t="s">
        <v>44</v>
      </c>
      <c r="N34" s="8" t="str">
        <f>IF(ISBLANK(Table13[[#This Row],[Dealer_Name]]), "UNKNOWN", Table13[[#This Row],[Dealer_Name]])</f>
        <v>Hyundai Plus</v>
      </c>
      <c r="O34" s="8" t="s">
        <v>30</v>
      </c>
      <c r="P34" s="8" t="s">
        <v>31</v>
      </c>
      <c r="Q34" s="10" t="s">
        <v>201</v>
      </c>
      <c r="R34" s="13" t="str">
        <f>IF(ISBLANK(Table13[[#This Row],[Engine_Size]]), "UNKNOWN",Table13[[#This Row],[Engine_Size]])</f>
        <v>3.3L</v>
      </c>
      <c r="S34" s="4" t="s">
        <v>54</v>
      </c>
      <c r="T34" s="8" t="str">
        <f>IF(ISBLANK(Table13[[#This Row],[Color]]), "UNKNOWN", Table13[[#This Row],[Color]])</f>
        <v>Silver</v>
      </c>
      <c r="U34" s="13">
        <v>3500</v>
      </c>
      <c r="V34" s="4">
        <v>2024</v>
      </c>
      <c r="W34" s="4">
        <v>202412</v>
      </c>
      <c r="X34" s="15">
        <f t="shared" si="0"/>
        <v>45657</v>
      </c>
      <c r="Y34" s="4" t="s">
        <v>197</v>
      </c>
      <c r="Z34" s="4" t="s">
        <v>158</v>
      </c>
    </row>
    <row r="35" spans="1:26" x14ac:dyDescent="0.2">
      <c r="A35" s="4" t="s">
        <v>202</v>
      </c>
      <c r="B35" s="8" t="s">
        <v>21</v>
      </c>
      <c r="C35" s="8" t="s">
        <v>63</v>
      </c>
      <c r="D35" s="8" t="s">
        <v>23</v>
      </c>
      <c r="E35" s="4" t="s">
        <v>473</v>
      </c>
      <c r="F35" s="4" t="s">
        <v>25</v>
      </c>
      <c r="G35" s="5">
        <v>28000</v>
      </c>
      <c r="H35" s="5" t="s">
        <v>41</v>
      </c>
      <c r="I35" s="5" t="s">
        <v>203</v>
      </c>
      <c r="J35" s="8" t="s">
        <v>512</v>
      </c>
      <c r="K35" s="8" t="s">
        <v>496</v>
      </c>
      <c r="L35" s="8" t="s">
        <v>204</v>
      </c>
      <c r="M35" s="8" t="s">
        <v>142</v>
      </c>
      <c r="N35" s="8" t="str">
        <f>IF(ISBLANK(Table13[[#This Row],[Dealer_Name]]), "UNKNOWN", Table13[[#This Row],[Dealer_Name]])</f>
        <v>Jeep Nation</v>
      </c>
      <c r="O35" s="8" t="s">
        <v>85</v>
      </c>
      <c r="P35" s="8" t="s">
        <v>31</v>
      </c>
      <c r="Q35" s="10" t="s">
        <v>205</v>
      </c>
      <c r="R35" s="13" t="str">
        <f>IF(ISBLANK(Table13[[#This Row],[Engine_Size]]), "UNKNOWN",Table13[[#This Row],[Engine_Size]])</f>
        <v>6.4L</v>
      </c>
      <c r="S35" s="4" t="s">
        <v>101</v>
      </c>
      <c r="T35" s="8" t="str">
        <f>IF(ISBLANK(Table13[[#This Row],[Color]]), "UNKNOWN", Table13[[#This Row],[Color]])</f>
        <v>Gray</v>
      </c>
      <c r="U35" s="13">
        <v>5000</v>
      </c>
      <c r="V35" s="4">
        <v>2024</v>
      </c>
      <c r="W35" s="4">
        <v>202412</v>
      </c>
      <c r="X35" s="15">
        <f t="shared" si="0"/>
        <v>45657</v>
      </c>
      <c r="Y35" s="4" t="s">
        <v>197</v>
      </c>
      <c r="Z35" s="4" t="s">
        <v>158</v>
      </c>
    </row>
    <row r="36" spans="1:26" x14ac:dyDescent="0.2">
      <c r="A36" s="4" t="s">
        <v>206</v>
      </c>
      <c r="B36" s="8" t="s">
        <v>207</v>
      </c>
      <c r="C36" s="8" t="s">
        <v>208</v>
      </c>
      <c r="D36" s="8" t="s">
        <v>23</v>
      </c>
      <c r="E36" s="4" t="s">
        <v>464</v>
      </c>
      <c r="F36" s="4" t="s">
        <v>25</v>
      </c>
      <c r="G36" s="5">
        <v>24500</v>
      </c>
      <c r="H36" s="5" t="s">
        <v>26</v>
      </c>
      <c r="I36" s="5" t="s">
        <v>209</v>
      </c>
      <c r="J36" s="8" t="s">
        <v>513</v>
      </c>
      <c r="K36" s="8" t="s">
        <v>514</v>
      </c>
      <c r="L36" s="8" t="s">
        <v>210</v>
      </c>
      <c r="M36" s="8" t="s">
        <v>147</v>
      </c>
      <c r="N36" s="8" t="str">
        <f>IF(ISBLANK(Table13[[#This Row],[Dealer_Name]]), "UNKNOWN", Table13[[#This Row],[Dealer_Name]])</f>
        <v>Metro Honda</v>
      </c>
      <c r="O36" s="8" t="s">
        <v>52</v>
      </c>
      <c r="P36" s="8" t="s">
        <v>31</v>
      </c>
      <c r="Q36" s="10" t="s">
        <v>53</v>
      </c>
      <c r="R36" s="13" t="str">
        <f>IF(ISBLANK(Table13[[#This Row],[Engine_Size]]), "UNKNOWN",Table13[[#This Row],[Engine_Size]])</f>
        <v>1.5L</v>
      </c>
      <c r="S36" s="4" t="s">
        <v>61</v>
      </c>
      <c r="T36" s="8" t="str">
        <f>IF(ISBLANK(Table13[[#This Row],[Color]]), "UNKNOWN", Table13[[#This Row],[Color]])</f>
        <v>Blue</v>
      </c>
      <c r="U36" s="13">
        <v>15000</v>
      </c>
      <c r="V36" s="4">
        <v>2021</v>
      </c>
      <c r="W36" s="4">
        <v>202401</v>
      </c>
      <c r="X36" s="15">
        <f t="shared" si="0"/>
        <v>45322</v>
      </c>
      <c r="Y36" s="4" t="s">
        <v>34</v>
      </c>
      <c r="Z36" s="4" t="s">
        <v>35</v>
      </c>
    </row>
    <row r="37" spans="1:26" x14ac:dyDescent="0.2">
      <c r="A37" s="4" t="s">
        <v>211</v>
      </c>
      <c r="B37" s="8" t="s">
        <v>212</v>
      </c>
      <c r="C37" s="8" t="s">
        <v>213</v>
      </c>
      <c r="D37" s="8" t="s">
        <v>23</v>
      </c>
      <c r="E37" s="4" t="s">
        <v>73</v>
      </c>
      <c r="F37" s="4" t="s">
        <v>25</v>
      </c>
      <c r="G37" s="5">
        <v>26800</v>
      </c>
      <c r="H37" s="5" t="s">
        <v>41</v>
      </c>
      <c r="I37" s="5" t="s">
        <v>214</v>
      </c>
      <c r="J37" s="8" t="s">
        <v>515</v>
      </c>
      <c r="K37" s="8" t="s">
        <v>516</v>
      </c>
      <c r="L37" s="8" t="s">
        <v>215</v>
      </c>
      <c r="N37" s="9" t="str">
        <f>IF(ISBLANK(Table13[[#This Row],[Dealer_Name]]), "UNKNOWN", Table13[[#This Row],[Dealer_Name]])</f>
        <v>UNKNOWN</v>
      </c>
      <c r="O37" s="8" t="s">
        <v>52</v>
      </c>
      <c r="P37" s="8" t="s">
        <v>31</v>
      </c>
      <c r="Q37" s="10" t="s">
        <v>60</v>
      </c>
      <c r="R37" s="13" t="str">
        <f>IF(ISBLANK(Table13[[#This Row],[Engine_Size]]), "UNKNOWN",Table13[[#This Row],[Engine_Size]])</f>
        <v>2.5L</v>
      </c>
      <c r="S37" s="4" t="s">
        <v>54</v>
      </c>
      <c r="T37" s="8" t="str">
        <f>IF(ISBLANK(Table13[[#This Row],[Color]]), "UNKNOWN", Table13[[#This Row],[Color]])</f>
        <v>Silver</v>
      </c>
      <c r="U37" s="13">
        <v>22000</v>
      </c>
      <c r="V37" s="4">
        <v>2020</v>
      </c>
      <c r="W37" s="4">
        <v>202402</v>
      </c>
      <c r="X37" s="15">
        <f t="shared" si="0"/>
        <v>45351</v>
      </c>
      <c r="Y37" s="4" t="s">
        <v>47</v>
      </c>
      <c r="Z37" s="4" t="s">
        <v>35</v>
      </c>
    </row>
    <row r="38" spans="1:26" x14ac:dyDescent="0.2">
      <c r="A38" s="4" t="s">
        <v>216</v>
      </c>
      <c r="B38" s="8" t="s">
        <v>217</v>
      </c>
      <c r="C38" s="8" t="s">
        <v>218</v>
      </c>
      <c r="D38" s="8" t="s">
        <v>23</v>
      </c>
      <c r="E38" s="4" t="s">
        <v>464</v>
      </c>
      <c r="F38" s="4" t="s">
        <v>25</v>
      </c>
      <c r="G38" s="5">
        <v>22900</v>
      </c>
      <c r="H38" s="5" t="s">
        <v>26</v>
      </c>
      <c r="I38" s="5" t="s">
        <v>219</v>
      </c>
      <c r="J38" s="8" t="s">
        <v>517</v>
      </c>
      <c r="K38" s="8" t="s">
        <v>518</v>
      </c>
      <c r="L38" s="8" t="s">
        <v>220</v>
      </c>
      <c r="M38" s="8" t="s">
        <v>44</v>
      </c>
      <c r="N38" s="8" t="str">
        <f>IF(ISBLANK(Table13[[#This Row],[Dealer_Name]]), "UNKNOWN", Table13[[#This Row],[Dealer_Name]])</f>
        <v>Hyundai Plus</v>
      </c>
      <c r="O38" s="8" t="s">
        <v>30</v>
      </c>
      <c r="P38" s="8" t="s">
        <v>31</v>
      </c>
      <c r="Q38" s="10" t="s">
        <v>156</v>
      </c>
      <c r="R38" s="13" t="str">
        <f>IF(ISBLANK(Table13[[#This Row],[Engine_Size]]), "UNKNOWN",Table13[[#This Row],[Engine_Size]])</f>
        <v>2.0L</v>
      </c>
      <c r="S38" s="4" t="s">
        <v>70</v>
      </c>
      <c r="T38" s="8" t="str">
        <f>IF(ISBLANK(Table13[[#This Row],[Color]]), "UNKNOWN", Table13[[#This Row],[Color]])</f>
        <v>Red</v>
      </c>
      <c r="U38" s="13">
        <v>12000</v>
      </c>
      <c r="V38" s="4">
        <v>2022</v>
      </c>
      <c r="W38" s="4">
        <v>202402</v>
      </c>
      <c r="X38" s="15">
        <f t="shared" si="0"/>
        <v>45351</v>
      </c>
      <c r="Y38" s="4" t="s">
        <v>47</v>
      </c>
      <c r="Z38" s="4" t="s">
        <v>35</v>
      </c>
    </row>
    <row r="39" spans="1:26" x14ac:dyDescent="0.2">
      <c r="A39" s="4" t="s">
        <v>221</v>
      </c>
      <c r="B39" s="8" t="s">
        <v>222</v>
      </c>
      <c r="C39" s="8" t="s">
        <v>223</v>
      </c>
      <c r="D39" s="8" t="s">
        <v>90</v>
      </c>
      <c r="E39" s="4" t="s">
        <v>91</v>
      </c>
      <c r="F39" s="4" t="s">
        <v>25</v>
      </c>
      <c r="G39" s="5">
        <v>38900</v>
      </c>
      <c r="H39" s="5" t="s">
        <v>41</v>
      </c>
      <c r="I39" s="5" t="s">
        <v>224</v>
      </c>
      <c r="J39" s="8" t="s">
        <v>499</v>
      </c>
      <c r="K39" s="8" t="s">
        <v>519</v>
      </c>
      <c r="L39" s="8" t="s">
        <v>225</v>
      </c>
      <c r="M39" s="8" t="s">
        <v>142</v>
      </c>
      <c r="N39" s="8" t="str">
        <f>IF(ISBLANK(Table13[[#This Row],[Dealer_Name]]), "UNKNOWN", Table13[[#This Row],[Dealer_Name]])</f>
        <v>Jeep Nation</v>
      </c>
      <c r="O39" s="8" t="s">
        <v>85</v>
      </c>
      <c r="P39" s="8" t="s">
        <v>31</v>
      </c>
      <c r="Q39" s="10" t="s">
        <v>86</v>
      </c>
      <c r="R39" s="13" t="str">
        <f>IF(ISBLANK(Table13[[#This Row],[Engine_Size]]), "UNKNOWN",Table13[[#This Row],[Engine_Size]])</f>
        <v>3.6L</v>
      </c>
      <c r="S39" s="4" t="s">
        <v>101</v>
      </c>
      <c r="T39" s="8" t="str">
        <f>IF(ISBLANK(Table13[[#This Row],[Color]]), "UNKNOWN", Table13[[#This Row],[Color]])</f>
        <v>Gray</v>
      </c>
      <c r="U39" s="13">
        <v>35000</v>
      </c>
      <c r="V39" s="4">
        <v>2020</v>
      </c>
      <c r="W39" s="4">
        <v>202402</v>
      </c>
      <c r="X39" s="15">
        <f t="shared" si="0"/>
        <v>45351</v>
      </c>
      <c r="Y39" s="4" t="s">
        <v>47</v>
      </c>
      <c r="Z39" s="4" t="s">
        <v>35</v>
      </c>
    </row>
    <row r="40" spans="1:26" x14ac:dyDescent="0.2">
      <c r="A40" s="4" t="s">
        <v>226</v>
      </c>
      <c r="B40" s="8" t="s">
        <v>227</v>
      </c>
      <c r="C40" s="8" t="s">
        <v>228</v>
      </c>
      <c r="D40" s="8" t="s">
        <v>23</v>
      </c>
      <c r="E40" s="4" t="s">
        <v>73</v>
      </c>
      <c r="F40" s="4" t="s">
        <v>485</v>
      </c>
      <c r="G40" s="5">
        <v>89500</v>
      </c>
      <c r="H40" s="5" t="s">
        <v>229</v>
      </c>
      <c r="I40" s="5" t="s">
        <v>230</v>
      </c>
      <c r="J40" s="8" t="s">
        <v>520</v>
      </c>
      <c r="K40" s="8" t="s">
        <v>521</v>
      </c>
      <c r="L40" s="8" t="s">
        <v>231</v>
      </c>
      <c r="M40" s="8" t="s">
        <v>165</v>
      </c>
      <c r="N40" s="8" t="str">
        <f>IF(ISBLANK(Table13[[#This Row],[Dealer_Name]]), "UNKNOWN", Table13[[#This Row],[Dealer_Name]])</f>
        <v>Tesla Direct</v>
      </c>
      <c r="O40" s="8" t="s">
        <v>30</v>
      </c>
      <c r="P40" s="8" t="s">
        <v>166</v>
      </c>
      <c r="R40" s="14" t="str">
        <f>IF(ISBLANK(Table13[[#This Row],[Engine_Size]]), "UNKNOWN",Table13[[#This Row],[Engine_Size]])</f>
        <v>UNKNOWN</v>
      </c>
      <c r="S40" s="4" t="s">
        <v>70</v>
      </c>
      <c r="T40" s="8" t="str">
        <f>IF(ISBLANK(Table13[[#This Row],[Color]]), "UNKNOWN", Table13[[#This Row],[Color]])</f>
        <v>Red</v>
      </c>
      <c r="U40" s="13">
        <v>8000</v>
      </c>
      <c r="V40" s="4">
        <v>2023</v>
      </c>
      <c r="W40" s="4">
        <v>202403</v>
      </c>
      <c r="X40" s="15">
        <f t="shared" si="0"/>
        <v>45382</v>
      </c>
      <c r="Y40" s="4" t="s">
        <v>55</v>
      </c>
      <c r="Z40" s="4" t="s">
        <v>35</v>
      </c>
    </row>
    <row r="41" spans="1:26" x14ac:dyDescent="0.2">
      <c r="A41" s="4" t="s">
        <v>232</v>
      </c>
      <c r="B41" s="8" t="s">
        <v>212</v>
      </c>
      <c r="C41" s="8" t="s">
        <v>213</v>
      </c>
      <c r="D41" s="8" t="s">
        <v>23</v>
      </c>
      <c r="E41" s="4" t="s">
        <v>73</v>
      </c>
      <c r="F41" s="4" t="s">
        <v>25</v>
      </c>
      <c r="G41" s="5">
        <v>27500</v>
      </c>
      <c r="H41" s="5" t="s">
        <v>41</v>
      </c>
      <c r="I41" s="5" t="s">
        <v>233</v>
      </c>
      <c r="J41" s="8" t="s">
        <v>522</v>
      </c>
      <c r="K41" s="8" t="s">
        <v>496</v>
      </c>
      <c r="L41" s="8" t="s">
        <v>234</v>
      </c>
      <c r="M41" s="8" t="s">
        <v>183</v>
      </c>
      <c r="N41" s="8" t="str">
        <f>IF(ISBLANK(Table13[[#This Row],[Dealer_Name]]), "UNKNOWN", Table13[[#This Row],[Dealer_Name]])</f>
        <v>Nissan Direct</v>
      </c>
      <c r="O41" s="8" t="s">
        <v>85</v>
      </c>
      <c r="P41" s="8" t="s">
        <v>31</v>
      </c>
      <c r="Q41" s="10" t="s">
        <v>60</v>
      </c>
      <c r="R41" s="13" t="str">
        <f>IF(ISBLANK(Table13[[#This Row],[Engine_Size]]), "UNKNOWN",Table13[[#This Row],[Engine_Size]])</f>
        <v>2.5L</v>
      </c>
      <c r="T41" s="9" t="str">
        <f>IF(ISBLANK(Table13[[#This Row],[Color]]), "UNKNOWN", Table13[[#This Row],[Color]])</f>
        <v>UNKNOWN</v>
      </c>
      <c r="U41" s="13">
        <v>26000</v>
      </c>
      <c r="V41" s="4">
        <v>2020</v>
      </c>
      <c r="W41" s="4">
        <v>202403</v>
      </c>
      <c r="X41" s="15">
        <f t="shared" si="0"/>
        <v>45382</v>
      </c>
      <c r="Y41" s="4" t="s">
        <v>55</v>
      </c>
      <c r="Z41" s="4" t="s">
        <v>35</v>
      </c>
    </row>
    <row r="42" spans="1:26" x14ac:dyDescent="0.2">
      <c r="A42" s="4" t="s">
        <v>235</v>
      </c>
      <c r="B42" s="8" t="s">
        <v>222</v>
      </c>
      <c r="C42" s="8" t="s">
        <v>223</v>
      </c>
      <c r="D42" s="8" t="s">
        <v>90</v>
      </c>
      <c r="E42" s="4" t="s">
        <v>91</v>
      </c>
      <c r="F42" s="4" t="s">
        <v>25</v>
      </c>
      <c r="G42" s="5">
        <v>41200</v>
      </c>
      <c r="H42" s="5" t="s">
        <v>92</v>
      </c>
      <c r="I42" s="5" t="s">
        <v>236</v>
      </c>
      <c r="J42" s="8" t="s">
        <v>523</v>
      </c>
      <c r="K42" s="8" t="s">
        <v>33</v>
      </c>
      <c r="L42" s="8" t="s">
        <v>237</v>
      </c>
      <c r="M42" s="8" t="s">
        <v>84</v>
      </c>
      <c r="N42" s="8" t="str">
        <f>IF(ISBLANK(Table13[[#This Row],[Dealer_Name]]), "UNKNOWN", Table13[[#This Row],[Dealer_Name]])</f>
        <v>jeep nation</v>
      </c>
      <c r="O42" s="8" t="s">
        <v>85</v>
      </c>
      <c r="P42" s="8" t="s">
        <v>31</v>
      </c>
      <c r="Q42" s="10" t="s">
        <v>86</v>
      </c>
      <c r="R42" s="13" t="str">
        <f>IF(ISBLANK(Table13[[#This Row],[Engine_Size]]), "UNKNOWN",Table13[[#This Row],[Engine_Size]])</f>
        <v>3.6L</v>
      </c>
      <c r="S42" s="4" t="s">
        <v>46</v>
      </c>
      <c r="T42" s="8" t="str">
        <f>IF(ISBLANK(Table13[[#This Row],[Color]]), "UNKNOWN", Table13[[#This Row],[Color]])</f>
        <v>Black</v>
      </c>
      <c r="U42" s="13">
        <v>29000</v>
      </c>
      <c r="V42" s="4">
        <v>2020</v>
      </c>
      <c r="W42" s="4">
        <v>202403</v>
      </c>
      <c r="X42" s="15">
        <f t="shared" si="0"/>
        <v>45382</v>
      </c>
      <c r="Y42" s="4" t="s">
        <v>55</v>
      </c>
      <c r="Z42" s="4" t="s">
        <v>35</v>
      </c>
    </row>
    <row r="43" spans="1:26" x14ac:dyDescent="0.2">
      <c r="A43" s="4" t="s">
        <v>238</v>
      </c>
      <c r="B43" s="8" t="s">
        <v>217</v>
      </c>
      <c r="C43" s="8" t="s">
        <v>239</v>
      </c>
      <c r="D43" s="8" t="s">
        <v>23</v>
      </c>
      <c r="E43" s="4" t="s">
        <v>464</v>
      </c>
      <c r="F43" s="4" t="s">
        <v>25</v>
      </c>
      <c r="G43" s="5">
        <v>18900</v>
      </c>
      <c r="H43" s="5" t="s">
        <v>26</v>
      </c>
      <c r="I43" s="5" t="s">
        <v>240</v>
      </c>
      <c r="J43" s="8" t="s">
        <v>524</v>
      </c>
      <c r="K43" s="8" t="s">
        <v>487</v>
      </c>
      <c r="L43" s="8" t="s">
        <v>241</v>
      </c>
      <c r="M43" s="8" t="s">
        <v>44</v>
      </c>
      <c r="N43" s="8" t="str">
        <f>IF(ISBLANK(Table13[[#This Row],[Dealer_Name]]), "UNKNOWN", Table13[[#This Row],[Dealer_Name]])</f>
        <v>Hyundai Plus</v>
      </c>
      <c r="O43" s="8" t="s">
        <v>30</v>
      </c>
      <c r="P43" s="8" t="s">
        <v>31</v>
      </c>
      <c r="Q43" s="10" t="s">
        <v>242</v>
      </c>
      <c r="R43" s="13" t="str">
        <f>IF(ISBLANK(Table13[[#This Row],[Engine_Size]]), "UNKNOWN",Table13[[#This Row],[Engine_Size]])</f>
        <v>1.6L</v>
      </c>
      <c r="S43" s="4" t="s">
        <v>70</v>
      </c>
      <c r="T43" s="8" t="str">
        <f>IF(ISBLANK(Table13[[#This Row],[Color]]), "UNKNOWN", Table13[[#This Row],[Color]])</f>
        <v>Red</v>
      </c>
      <c r="U43" s="13">
        <v>14000</v>
      </c>
      <c r="V43" s="4">
        <v>2022</v>
      </c>
      <c r="W43" s="4">
        <v>202407</v>
      </c>
      <c r="X43" s="15">
        <f t="shared" si="0"/>
        <v>45504</v>
      </c>
      <c r="Y43" s="4" t="s">
        <v>78</v>
      </c>
      <c r="Z43" s="4" t="s">
        <v>79</v>
      </c>
    </row>
    <row r="44" spans="1:26" x14ac:dyDescent="0.2">
      <c r="A44" s="4" t="s">
        <v>243</v>
      </c>
      <c r="B44" s="8" t="s">
        <v>244</v>
      </c>
      <c r="C44" s="8" t="s">
        <v>245</v>
      </c>
      <c r="D44" s="8" t="s">
        <v>23</v>
      </c>
      <c r="E44" s="4" t="s">
        <v>73</v>
      </c>
      <c r="F44" s="4" t="s">
        <v>485</v>
      </c>
      <c r="G44" s="5">
        <v>89900</v>
      </c>
      <c r="H44" s="5" t="s">
        <v>229</v>
      </c>
      <c r="I44" s="5" t="s">
        <v>246</v>
      </c>
      <c r="J44" s="8" t="s">
        <v>525</v>
      </c>
      <c r="K44" s="8" t="s">
        <v>468</v>
      </c>
      <c r="L44" s="8" t="s">
        <v>247</v>
      </c>
      <c r="M44" s="8" t="s">
        <v>248</v>
      </c>
      <c r="N44" s="8" t="str">
        <f>IF(ISBLANK(Table13[[#This Row],[Dealer_Name]]), "UNKNOWN", Table13[[#This Row],[Dealer_Name]])</f>
        <v>BMW Elite</v>
      </c>
      <c r="O44" s="8" t="s">
        <v>52</v>
      </c>
      <c r="P44" s="8" t="s">
        <v>31</v>
      </c>
      <c r="Q44" s="10" t="s">
        <v>190</v>
      </c>
      <c r="R44" s="13" t="str">
        <f>IF(ISBLANK(Table13[[#This Row],[Engine_Size]]), "UNKNOWN",Table13[[#This Row],[Engine_Size]])</f>
        <v>3.0L</v>
      </c>
      <c r="S44" s="4" t="s">
        <v>101</v>
      </c>
      <c r="T44" s="8" t="str">
        <f>IF(ISBLANK(Table13[[#This Row],[Color]]), "UNKNOWN", Table13[[#This Row],[Color]])</f>
        <v>Gray</v>
      </c>
      <c r="U44" s="13">
        <v>26000</v>
      </c>
      <c r="V44" s="4">
        <v>2020</v>
      </c>
      <c r="W44" s="4">
        <v>202407</v>
      </c>
      <c r="X44" s="15">
        <f t="shared" si="0"/>
        <v>45504</v>
      </c>
      <c r="Y44" s="4" t="s">
        <v>78</v>
      </c>
      <c r="Z44" s="4" t="s">
        <v>79</v>
      </c>
    </row>
    <row r="45" spans="1:26" x14ac:dyDescent="0.2">
      <c r="A45" s="4" t="s">
        <v>249</v>
      </c>
      <c r="B45" s="8" t="s">
        <v>212</v>
      </c>
      <c r="C45" s="8" t="s">
        <v>250</v>
      </c>
      <c r="D45" s="8" t="s">
        <v>90</v>
      </c>
      <c r="E45" s="4" t="s">
        <v>91</v>
      </c>
      <c r="F45" s="4" t="s">
        <v>25</v>
      </c>
      <c r="G45" s="5">
        <v>51200</v>
      </c>
      <c r="H45" s="5" t="s">
        <v>92</v>
      </c>
      <c r="I45" s="5" t="s">
        <v>251</v>
      </c>
      <c r="J45" s="8" t="s">
        <v>526</v>
      </c>
      <c r="K45" s="8" t="s">
        <v>496</v>
      </c>
      <c r="L45" s="8" t="s">
        <v>252</v>
      </c>
      <c r="M45" s="8" t="s">
        <v>183</v>
      </c>
      <c r="N45" s="8" t="str">
        <f>IF(ISBLANK(Table13[[#This Row],[Dealer_Name]]), "UNKNOWN", Table13[[#This Row],[Dealer_Name]])</f>
        <v>Nissan Direct</v>
      </c>
      <c r="O45" s="8" t="s">
        <v>85</v>
      </c>
      <c r="P45" s="8" t="s">
        <v>31</v>
      </c>
      <c r="Q45" s="10" t="s">
        <v>253</v>
      </c>
      <c r="R45" s="13" t="str">
        <f>IF(ISBLANK(Table13[[#This Row],[Engine_Size]]), "UNKNOWN",Table13[[#This Row],[Engine_Size]])</f>
        <v>5.6L</v>
      </c>
      <c r="S45" s="4" t="s">
        <v>61</v>
      </c>
      <c r="T45" s="8" t="str">
        <f>IF(ISBLANK(Table13[[#This Row],[Color]]), "UNKNOWN", Table13[[#This Row],[Color]])</f>
        <v>Blue</v>
      </c>
      <c r="U45" s="13">
        <v>30000</v>
      </c>
      <c r="V45" s="4">
        <v>2020</v>
      </c>
      <c r="W45" s="4">
        <v>202407</v>
      </c>
      <c r="X45" s="15">
        <f t="shared" si="0"/>
        <v>45504</v>
      </c>
      <c r="Y45" s="4" t="s">
        <v>78</v>
      </c>
      <c r="Z45" s="4" t="s">
        <v>79</v>
      </c>
    </row>
    <row r="46" spans="1:26" x14ac:dyDescent="0.2">
      <c r="A46" s="4" t="s">
        <v>254</v>
      </c>
      <c r="B46" s="8" t="s">
        <v>255</v>
      </c>
      <c r="C46" s="8" t="s">
        <v>256</v>
      </c>
      <c r="D46" s="8" t="s">
        <v>90</v>
      </c>
      <c r="E46" s="4" t="s">
        <v>91</v>
      </c>
      <c r="F46" s="4" t="s">
        <v>25</v>
      </c>
      <c r="G46" s="5">
        <v>38900</v>
      </c>
      <c r="H46" s="5" t="s">
        <v>41</v>
      </c>
      <c r="I46" s="5" t="s">
        <v>257</v>
      </c>
      <c r="J46" s="8" t="s">
        <v>527</v>
      </c>
      <c r="K46" s="8" t="s">
        <v>33</v>
      </c>
      <c r="L46" s="8" t="s">
        <v>258</v>
      </c>
      <c r="M46" s="8" t="s">
        <v>67</v>
      </c>
      <c r="N46" s="8" t="str">
        <f>IF(ISBLANK(Table13[[#This Row],[Dealer_Name]]), "UNKNOWN", Table13[[#This Row],[Dealer_Name]])</f>
        <v>Ford Country</v>
      </c>
      <c r="O46" s="8" t="s">
        <v>68</v>
      </c>
      <c r="P46" s="8" t="s">
        <v>31</v>
      </c>
      <c r="Q46" s="10" t="s">
        <v>259</v>
      </c>
      <c r="R46" s="13" t="str">
        <f>IF(ISBLANK(Table13[[#This Row],[Engine_Size]]), "UNKNOWN",Table13[[#This Row],[Engine_Size]])</f>
        <v>2.3L</v>
      </c>
      <c r="S46" s="4" t="s">
        <v>143</v>
      </c>
      <c r="T46" s="8" t="str">
        <f>IF(ISBLANK(Table13[[#This Row],[Color]]), "UNKNOWN", Table13[[#This Row],[Color]])</f>
        <v>Green</v>
      </c>
      <c r="U46" s="13">
        <v>9000</v>
      </c>
      <c r="V46" s="4">
        <v>2023</v>
      </c>
      <c r="W46" s="4">
        <v>202407</v>
      </c>
      <c r="X46" s="15">
        <f t="shared" si="0"/>
        <v>45504</v>
      </c>
      <c r="Y46" s="4" t="s">
        <v>78</v>
      </c>
      <c r="Z46" s="4" t="s">
        <v>79</v>
      </c>
    </row>
    <row r="47" spans="1:26" x14ac:dyDescent="0.2">
      <c r="A47" s="4" t="s">
        <v>260</v>
      </c>
      <c r="B47" s="8" t="s">
        <v>244</v>
      </c>
      <c r="C47" s="8" t="s">
        <v>261</v>
      </c>
      <c r="D47" s="8" t="s">
        <v>262</v>
      </c>
      <c r="E47" s="4" t="s">
        <v>263</v>
      </c>
      <c r="F47" s="4" t="s">
        <v>485</v>
      </c>
      <c r="G47" s="5">
        <v>99900</v>
      </c>
      <c r="H47" s="5" t="s">
        <v>264</v>
      </c>
      <c r="I47" s="5" t="s">
        <v>265</v>
      </c>
      <c r="J47" s="8" t="s">
        <v>528</v>
      </c>
      <c r="K47" s="8" t="s">
        <v>477</v>
      </c>
      <c r="L47" s="8" t="s">
        <v>266</v>
      </c>
      <c r="M47" s="8" t="s">
        <v>248</v>
      </c>
      <c r="N47" s="8" t="str">
        <f>IF(ISBLANK(Table13[[#This Row],[Dealer_Name]]), "UNKNOWN", Table13[[#This Row],[Dealer_Name]])</f>
        <v>BMW Elite</v>
      </c>
      <c r="O47" s="8" t="s">
        <v>52</v>
      </c>
      <c r="P47" s="8" t="s">
        <v>31</v>
      </c>
      <c r="Q47" s="10" t="s">
        <v>190</v>
      </c>
      <c r="R47" s="13" t="str">
        <f>IF(ISBLANK(Table13[[#This Row],[Engine_Size]]), "UNKNOWN",Table13[[#This Row],[Engine_Size]])</f>
        <v>3.0L</v>
      </c>
      <c r="S47" s="4" t="s">
        <v>61</v>
      </c>
      <c r="T47" s="8" t="str">
        <f>IF(ISBLANK(Table13[[#This Row],[Color]]), "UNKNOWN", Table13[[#This Row],[Color]])</f>
        <v>Blue</v>
      </c>
      <c r="U47" s="13">
        <v>18000</v>
      </c>
      <c r="V47" s="4">
        <v>2022</v>
      </c>
      <c r="W47" s="4">
        <v>202407</v>
      </c>
      <c r="X47" s="15">
        <f t="shared" si="0"/>
        <v>45504</v>
      </c>
      <c r="Y47" s="4" t="s">
        <v>78</v>
      </c>
      <c r="Z47" s="4" t="s">
        <v>79</v>
      </c>
    </row>
    <row r="48" spans="1:26" x14ac:dyDescent="0.2">
      <c r="A48" s="4" t="s">
        <v>267</v>
      </c>
      <c r="B48" s="8" t="s">
        <v>222</v>
      </c>
      <c r="C48" s="8" t="s">
        <v>268</v>
      </c>
      <c r="D48" s="8" t="s">
        <v>90</v>
      </c>
      <c r="E48" s="4" t="s">
        <v>91</v>
      </c>
      <c r="F48" s="4" t="s">
        <v>25</v>
      </c>
      <c r="G48" s="5">
        <v>22900</v>
      </c>
      <c r="H48" s="5" t="s">
        <v>26</v>
      </c>
      <c r="I48" s="5" t="s">
        <v>269</v>
      </c>
      <c r="J48" s="8" t="s">
        <v>529</v>
      </c>
      <c r="K48" s="8" t="s">
        <v>477</v>
      </c>
      <c r="L48" s="8" t="s">
        <v>270</v>
      </c>
      <c r="M48" s="8" t="s">
        <v>142</v>
      </c>
      <c r="N48" s="8" t="str">
        <f>IF(ISBLANK(Table13[[#This Row],[Dealer_Name]]), "UNKNOWN", Table13[[#This Row],[Dealer_Name]])</f>
        <v>Jeep Nation</v>
      </c>
      <c r="O48" s="8" t="s">
        <v>85</v>
      </c>
      <c r="P48" s="8" t="s">
        <v>31</v>
      </c>
      <c r="Q48" s="10" t="s">
        <v>271</v>
      </c>
      <c r="R48" s="13" t="str">
        <f>IF(ISBLANK(Table13[[#This Row],[Engine_Size]]), "UNKNOWN",Table13[[#This Row],[Engine_Size]])</f>
        <v>3.7L</v>
      </c>
      <c r="S48" s="4" t="s">
        <v>54</v>
      </c>
      <c r="T48" s="8" t="str">
        <f>IF(ISBLANK(Table13[[#This Row],[Color]]), "UNKNOWN", Table13[[#This Row],[Color]])</f>
        <v>Silver</v>
      </c>
      <c r="U48" s="13">
        <v>45000</v>
      </c>
      <c r="V48" s="4">
        <v>2016</v>
      </c>
      <c r="W48" s="4">
        <v>202408</v>
      </c>
      <c r="X48" s="15">
        <f t="shared" si="0"/>
        <v>45535</v>
      </c>
      <c r="Y48" s="4" t="s">
        <v>108</v>
      </c>
      <c r="Z48" s="4" t="s">
        <v>79</v>
      </c>
    </row>
    <row r="49" spans="1:26" x14ac:dyDescent="0.2">
      <c r="A49" s="4" t="s">
        <v>272</v>
      </c>
      <c r="B49" s="8" t="s">
        <v>273</v>
      </c>
      <c r="C49" s="8" t="s">
        <v>274</v>
      </c>
      <c r="D49" s="8" t="s">
        <v>90</v>
      </c>
      <c r="E49" s="4" t="s">
        <v>91</v>
      </c>
      <c r="F49" s="4" t="s">
        <v>25</v>
      </c>
      <c r="G49" s="5">
        <v>35200</v>
      </c>
      <c r="H49" s="5" t="s">
        <v>41</v>
      </c>
      <c r="I49" s="5" t="s">
        <v>275</v>
      </c>
      <c r="J49" s="8" t="s">
        <v>530</v>
      </c>
      <c r="K49" s="8" t="s">
        <v>33</v>
      </c>
      <c r="L49" s="8" t="s">
        <v>276</v>
      </c>
      <c r="M49" s="8" t="s">
        <v>99</v>
      </c>
      <c r="N49" s="8" t="str">
        <f>IF(ISBLANK(Table13[[#This Row],[Dealer_Name]]), "UNKNOWN", Table13[[#This Row],[Dealer_Name]])</f>
        <v>Chevy World</v>
      </c>
      <c r="O49" s="8" t="s">
        <v>68</v>
      </c>
      <c r="P49" s="8" t="s">
        <v>31</v>
      </c>
      <c r="Q49" s="10" t="s">
        <v>60</v>
      </c>
      <c r="R49" s="13" t="str">
        <f>IF(ISBLANK(Table13[[#This Row],[Engine_Size]]), "UNKNOWN",Table13[[#This Row],[Engine_Size]])</f>
        <v>2.5L</v>
      </c>
      <c r="S49" s="4" t="s">
        <v>46</v>
      </c>
      <c r="T49" s="8" t="str">
        <f>IF(ISBLANK(Table13[[#This Row],[Color]]), "UNKNOWN", Table13[[#This Row],[Color]])</f>
        <v>Black</v>
      </c>
      <c r="U49" s="13">
        <v>25000</v>
      </c>
      <c r="V49" s="4">
        <v>2020</v>
      </c>
      <c r="W49" s="4">
        <v>202409</v>
      </c>
      <c r="X49" s="15">
        <f t="shared" si="0"/>
        <v>45565</v>
      </c>
      <c r="Y49" s="4" t="s">
        <v>134</v>
      </c>
      <c r="Z49" s="4" t="s">
        <v>79</v>
      </c>
    </row>
    <row r="50" spans="1:26" x14ac:dyDescent="0.2">
      <c r="A50" s="4" t="s">
        <v>277</v>
      </c>
      <c r="B50" s="8" t="s">
        <v>255</v>
      </c>
      <c r="C50" s="8" t="s">
        <v>278</v>
      </c>
      <c r="D50" s="8" t="s">
        <v>90</v>
      </c>
      <c r="E50" s="4" t="s">
        <v>91</v>
      </c>
      <c r="F50" s="4" t="s">
        <v>25</v>
      </c>
      <c r="G50" s="5">
        <v>22900</v>
      </c>
      <c r="H50" s="5" t="s">
        <v>26</v>
      </c>
      <c r="I50" s="5" t="s">
        <v>279</v>
      </c>
      <c r="J50" s="8" t="s">
        <v>531</v>
      </c>
      <c r="K50" s="8" t="s">
        <v>493</v>
      </c>
      <c r="L50" s="8" t="s">
        <v>280</v>
      </c>
      <c r="M50" s="8" t="s">
        <v>67</v>
      </c>
      <c r="N50" s="8" t="str">
        <f>IF(ISBLANK(Table13[[#This Row],[Dealer_Name]]), "UNKNOWN", Table13[[#This Row],[Dealer_Name]])</f>
        <v>Ford Country</v>
      </c>
      <c r="O50" s="8" t="s">
        <v>68</v>
      </c>
      <c r="P50" s="8" t="s">
        <v>31</v>
      </c>
      <c r="Q50" s="10" t="s">
        <v>281</v>
      </c>
      <c r="R50" s="13" t="str">
        <f>IF(ISBLANK(Table13[[#This Row],[Engine_Size]]), "UNKNOWN",Table13[[#This Row],[Engine_Size]])</f>
        <v>1.0L</v>
      </c>
      <c r="S50" s="4" t="s">
        <v>33</v>
      </c>
      <c r="T50" s="8" t="str">
        <f>IF(ISBLANK(Table13[[#This Row],[Color]]), "UNKNOWN", Table13[[#This Row],[Color]])</f>
        <v>White</v>
      </c>
      <c r="U50" s="13">
        <v>19000</v>
      </c>
      <c r="V50" s="4">
        <v>2021</v>
      </c>
      <c r="W50" s="4">
        <v>202409</v>
      </c>
      <c r="X50" s="15">
        <f t="shared" si="0"/>
        <v>45565</v>
      </c>
      <c r="Y50" s="4" t="s">
        <v>134</v>
      </c>
      <c r="Z50" s="4" t="s">
        <v>79</v>
      </c>
    </row>
    <row r="51" spans="1:26" x14ac:dyDescent="0.2">
      <c r="A51" s="4" t="s">
        <v>282</v>
      </c>
      <c r="B51" s="8" t="s">
        <v>222</v>
      </c>
      <c r="C51" s="8" t="s">
        <v>283</v>
      </c>
      <c r="D51" s="8" t="s">
        <v>90</v>
      </c>
      <c r="E51" s="4" t="s">
        <v>91</v>
      </c>
      <c r="F51" s="4" t="s">
        <v>25</v>
      </c>
      <c r="G51" s="5">
        <v>27900</v>
      </c>
      <c r="H51" s="5" t="s">
        <v>41</v>
      </c>
      <c r="I51" s="5" t="s">
        <v>284</v>
      </c>
      <c r="J51" s="8" t="s">
        <v>532</v>
      </c>
      <c r="K51" s="8" t="s">
        <v>477</v>
      </c>
      <c r="L51" s="8" t="s">
        <v>285</v>
      </c>
      <c r="M51" s="8" t="s">
        <v>142</v>
      </c>
      <c r="N51" s="8" t="str">
        <f>IF(ISBLANK(Table13[[#This Row],[Dealer_Name]]), "UNKNOWN", Table13[[#This Row],[Dealer_Name]])</f>
        <v>Jeep Nation</v>
      </c>
      <c r="O51" s="8" t="s">
        <v>85</v>
      </c>
      <c r="P51" s="8" t="s">
        <v>31</v>
      </c>
      <c r="Q51" s="10" t="s">
        <v>286</v>
      </c>
      <c r="R51" s="13" t="str">
        <f>IF(ISBLANK(Table13[[#This Row],[Engine_Size]]), "UNKNOWN",Table13[[#This Row],[Engine_Size]])</f>
        <v>1.3L</v>
      </c>
      <c r="S51" s="4" t="s">
        <v>54</v>
      </c>
      <c r="T51" s="8" t="str">
        <f>IF(ISBLANK(Table13[[#This Row],[Color]]), "UNKNOWN", Table13[[#This Row],[Color]])</f>
        <v>Silver</v>
      </c>
      <c r="U51" s="13">
        <v>13000</v>
      </c>
      <c r="V51" s="4">
        <v>2023</v>
      </c>
      <c r="W51" s="4">
        <v>202410</v>
      </c>
      <c r="X51" s="15">
        <f t="shared" si="0"/>
        <v>45596</v>
      </c>
      <c r="Y51" s="4" t="s">
        <v>157</v>
      </c>
      <c r="Z51" s="4" t="s">
        <v>158</v>
      </c>
    </row>
    <row r="52" spans="1:26" x14ac:dyDescent="0.2">
      <c r="A52" s="4" t="s">
        <v>287</v>
      </c>
      <c r="B52" s="8" t="s">
        <v>273</v>
      </c>
      <c r="C52" s="8" t="s">
        <v>288</v>
      </c>
      <c r="D52" s="8" t="s">
        <v>23</v>
      </c>
      <c r="E52" s="4" t="s">
        <v>73</v>
      </c>
      <c r="F52" s="4" t="s">
        <v>25</v>
      </c>
      <c r="G52" s="5">
        <v>26900</v>
      </c>
      <c r="H52" s="5" t="s">
        <v>41</v>
      </c>
      <c r="I52" s="5" t="s">
        <v>289</v>
      </c>
      <c r="J52" s="8" t="s">
        <v>533</v>
      </c>
      <c r="K52" s="8" t="s">
        <v>33</v>
      </c>
      <c r="L52" s="8" t="s">
        <v>290</v>
      </c>
      <c r="M52" s="8" t="s">
        <v>99</v>
      </c>
      <c r="N52" s="8" t="str">
        <f>IF(ISBLANK(Table13[[#This Row],[Dealer_Name]]), "UNKNOWN", Table13[[#This Row],[Dealer_Name]])</f>
        <v>Chevy World</v>
      </c>
      <c r="O52" s="8" t="s">
        <v>68</v>
      </c>
      <c r="P52" s="8" t="s">
        <v>166</v>
      </c>
      <c r="R52" s="14" t="str">
        <f>IF(ISBLANK(Table13[[#This Row],[Engine_Size]]), "UNKNOWN",Table13[[#This Row],[Engine_Size]])</f>
        <v>UNKNOWN</v>
      </c>
      <c r="S52" s="4" t="s">
        <v>70</v>
      </c>
      <c r="T52" s="8" t="str">
        <f>IF(ISBLANK(Table13[[#This Row],[Color]]), "UNKNOWN", Table13[[#This Row],[Color]])</f>
        <v>Red</v>
      </c>
      <c r="U52" s="13">
        <v>8000</v>
      </c>
      <c r="V52" s="4">
        <v>2023</v>
      </c>
      <c r="W52" s="4">
        <v>202410</v>
      </c>
      <c r="X52" s="15">
        <f t="shared" si="0"/>
        <v>45596</v>
      </c>
      <c r="Y52" s="4" t="s">
        <v>157</v>
      </c>
      <c r="Z52" s="4" t="s">
        <v>158</v>
      </c>
    </row>
    <row r="53" spans="1:26" x14ac:dyDescent="0.2">
      <c r="A53" s="4" t="s">
        <v>291</v>
      </c>
      <c r="B53" s="8" t="s">
        <v>217</v>
      </c>
      <c r="C53" s="8" t="s">
        <v>292</v>
      </c>
      <c r="D53" s="8" t="s">
        <v>23</v>
      </c>
      <c r="E53" s="4" t="s">
        <v>73</v>
      </c>
      <c r="F53" s="4" t="s">
        <v>25</v>
      </c>
      <c r="G53" s="5">
        <v>34500</v>
      </c>
      <c r="H53" s="5" t="s">
        <v>41</v>
      </c>
      <c r="I53" s="5" t="s">
        <v>293</v>
      </c>
      <c r="J53" s="8" t="s">
        <v>534</v>
      </c>
      <c r="K53" s="8" t="s">
        <v>475</v>
      </c>
      <c r="L53" s="8" t="s">
        <v>294</v>
      </c>
      <c r="M53" s="8" t="s">
        <v>138</v>
      </c>
      <c r="N53" s="8" t="str">
        <f>IF(ISBLANK(Table13[[#This Row],[Dealer_Name]]), "UNKNOWN", Table13[[#This Row],[Dealer_Name]])</f>
        <v>hyundai plus</v>
      </c>
      <c r="O53" s="8" t="s">
        <v>30</v>
      </c>
      <c r="P53" s="8" t="s">
        <v>31</v>
      </c>
      <c r="Q53" s="10" t="s">
        <v>156</v>
      </c>
      <c r="R53" s="13" t="str">
        <f>IF(ISBLANK(Table13[[#This Row],[Engine_Size]]), "UNKNOWN",Table13[[#This Row],[Engine_Size]])</f>
        <v>2.0L</v>
      </c>
      <c r="S53" s="4" t="s">
        <v>70</v>
      </c>
      <c r="T53" s="8" t="str">
        <f>IF(ISBLANK(Table13[[#This Row],[Color]]), "UNKNOWN", Table13[[#This Row],[Color]])</f>
        <v>Red</v>
      </c>
      <c r="U53" s="13">
        <v>5000</v>
      </c>
      <c r="V53" s="4">
        <v>2024</v>
      </c>
      <c r="W53" s="4">
        <v>202411</v>
      </c>
      <c r="X53" s="15">
        <f t="shared" si="0"/>
        <v>45626</v>
      </c>
      <c r="Y53" s="4" t="s">
        <v>179</v>
      </c>
      <c r="Z53" s="4" t="s">
        <v>158</v>
      </c>
    </row>
    <row r="54" spans="1:26" x14ac:dyDescent="0.2">
      <c r="A54" s="4" t="s">
        <v>295</v>
      </c>
      <c r="B54" s="8" t="s">
        <v>255</v>
      </c>
      <c r="C54" s="8" t="s">
        <v>296</v>
      </c>
      <c r="D54" s="8" t="s">
        <v>90</v>
      </c>
      <c r="E54" s="4" t="s">
        <v>91</v>
      </c>
      <c r="F54" s="4" t="s">
        <v>25</v>
      </c>
      <c r="G54" s="5">
        <v>29800</v>
      </c>
      <c r="H54" s="5" t="s">
        <v>41</v>
      </c>
      <c r="I54" s="5" t="s">
        <v>297</v>
      </c>
      <c r="J54" s="8" t="s">
        <v>535</v>
      </c>
      <c r="K54" s="8" t="s">
        <v>484</v>
      </c>
      <c r="L54" s="8" t="s">
        <v>298</v>
      </c>
      <c r="M54" s="8" t="s">
        <v>67</v>
      </c>
      <c r="N54" s="8" t="str">
        <f>IF(ISBLANK(Table13[[#This Row],[Dealer_Name]]), "UNKNOWN", Table13[[#This Row],[Dealer_Name]])</f>
        <v>Ford Country</v>
      </c>
      <c r="O54" s="8" t="s">
        <v>68</v>
      </c>
      <c r="P54" s="8" t="s">
        <v>31</v>
      </c>
      <c r="Q54" s="10" t="s">
        <v>53</v>
      </c>
      <c r="R54" s="13" t="str">
        <f>IF(ISBLANK(Table13[[#This Row],[Engine_Size]]), "UNKNOWN",Table13[[#This Row],[Engine_Size]])</f>
        <v>1.5L</v>
      </c>
      <c r="S54" s="4" t="s">
        <v>143</v>
      </c>
      <c r="T54" s="8" t="str">
        <f>IF(ISBLANK(Table13[[#This Row],[Color]]), "UNKNOWN", Table13[[#This Row],[Color]])</f>
        <v>Green</v>
      </c>
      <c r="U54" s="13">
        <v>9000</v>
      </c>
      <c r="V54" s="4">
        <v>2023</v>
      </c>
      <c r="W54" s="4">
        <v>202411</v>
      </c>
      <c r="X54" s="15">
        <f t="shared" si="0"/>
        <v>45626</v>
      </c>
      <c r="Y54" s="4" t="s">
        <v>179</v>
      </c>
      <c r="Z54" s="4" t="s">
        <v>158</v>
      </c>
    </row>
    <row r="55" spans="1:26" x14ac:dyDescent="0.2">
      <c r="A55" s="4" t="s">
        <v>299</v>
      </c>
      <c r="B55" s="8" t="s">
        <v>244</v>
      </c>
      <c r="C55" s="8" t="s">
        <v>300</v>
      </c>
      <c r="D55" s="8" t="s">
        <v>23</v>
      </c>
      <c r="E55" s="4" t="s">
        <v>73</v>
      </c>
      <c r="F55" s="4" t="s">
        <v>485</v>
      </c>
      <c r="G55" s="5">
        <v>69900</v>
      </c>
      <c r="H55" s="5" t="s">
        <v>229</v>
      </c>
      <c r="I55" s="5" t="s">
        <v>301</v>
      </c>
      <c r="J55" s="8" t="s">
        <v>536</v>
      </c>
      <c r="K55" s="8" t="s">
        <v>479</v>
      </c>
      <c r="L55" s="8" t="s">
        <v>302</v>
      </c>
      <c r="M55" s="8" t="s">
        <v>248</v>
      </c>
      <c r="N55" s="8" t="str">
        <f>IF(ISBLANK(Table13[[#This Row],[Dealer_Name]]), "UNKNOWN", Table13[[#This Row],[Dealer_Name]])</f>
        <v>BMW Elite</v>
      </c>
      <c r="O55" s="8" t="s">
        <v>52</v>
      </c>
      <c r="P55" s="8" t="s">
        <v>31</v>
      </c>
      <c r="Q55" s="10" t="s">
        <v>190</v>
      </c>
      <c r="R55" s="13" t="str">
        <f>IF(ISBLANK(Table13[[#This Row],[Engine_Size]]), "UNKNOWN",Table13[[#This Row],[Engine_Size]])</f>
        <v>3.0L</v>
      </c>
      <c r="S55" s="4" t="s">
        <v>33</v>
      </c>
      <c r="T55" s="8" t="str">
        <f>IF(ISBLANK(Table13[[#This Row],[Color]]), "UNKNOWN", Table13[[#This Row],[Color]])</f>
        <v>White</v>
      </c>
      <c r="U55" s="13">
        <v>6000</v>
      </c>
      <c r="V55" s="4">
        <v>2023</v>
      </c>
      <c r="W55" s="4">
        <v>202412</v>
      </c>
      <c r="X55" s="15">
        <f t="shared" si="0"/>
        <v>45657</v>
      </c>
      <c r="Y55" s="4" t="s">
        <v>197</v>
      </c>
      <c r="Z55" s="4" t="s">
        <v>158</v>
      </c>
    </row>
    <row r="56" spans="1:26" x14ac:dyDescent="0.2">
      <c r="A56" s="4" t="s">
        <v>303</v>
      </c>
      <c r="B56" s="8" t="s">
        <v>212</v>
      </c>
      <c r="C56" s="8" t="s">
        <v>304</v>
      </c>
      <c r="D56" s="8" t="s">
        <v>262</v>
      </c>
      <c r="E56" s="4" t="s">
        <v>305</v>
      </c>
      <c r="F56" s="4" t="s">
        <v>25</v>
      </c>
      <c r="G56" s="5">
        <v>115900</v>
      </c>
      <c r="H56" s="5" t="s">
        <v>264</v>
      </c>
      <c r="I56" s="5" t="s">
        <v>306</v>
      </c>
      <c r="J56" s="8" t="s">
        <v>537</v>
      </c>
      <c r="K56" s="8" t="s">
        <v>519</v>
      </c>
      <c r="L56" s="8" t="s">
        <v>307</v>
      </c>
      <c r="M56" s="8" t="s">
        <v>183</v>
      </c>
      <c r="N56" s="8" t="str">
        <f>IF(ISBLANK(Table13[[#This Row],[Dealer_Name]]), "UNKNOWN", Table13[[#This Row],[Dealer_Name]])</f>
        <v>Nissan Direct</v>
      </c>
      <c r="O56" s="8" t="s">
        <v>85</v>
      </c>
      <c r="P56" s="8" t="s">
        <v>31</v>
      </c>
      <c r="Q56" s="10" t="s">
        <v>128</v>
      </c>
      <c r="R56" s="13" t="str">
        <f>IF(ISBLANK(Table13[[#This Row],[Engine_Size]]), "UNKNOWN",Table13[[#This Row],[Engine_Size]])</f>
        <v>3.8L</v>
      </c>
      <c r="S56" s="4" t="s">
        <v>46</v>
      </c>
      <c r="T56" s="8" t="str">
        <f>IF(ISBLANK(Table13[[#This Row],[Color]]), "UNKNOWN", Table13[[#This Row],[Color]])</f>
        <v>Black</v>
      </c>
      <c r="U56" s="13">
        <v>2500</v>
      </c>
      <c r="V56" s="4">
        <v>2024</v>
      </c>
      <c r="W56" s="4">
        <v>202412</v>
      </c>
      <c r="X56" s="15">
        <f t="shared" si="0"/>
        <v>45657</v>
      </c>
      <c r="Y56" s="4" t="s">
        <v>197</v>
      </c>
      <c r="Z56" s="4" t="s">
        <v>158</v>
      </c>
    </row>
    <row r="57" spans="1:26" x14ac:dyDescent="0.2">
      <c r="A57" s="4" t="s">
        <v>308</v>
      </c>
      <c r="B57" s="8" t="s">
        <v>222</v>
      </c>
      <c r="C57" s="8" t="s">
        <v>223</v>
      </c>
      <c r="D57" s="8" t="s">
        <v>90</v>
      </c>
      <c r="E57" s="4" t="s">
        <v>91</v>
      </c>
      <c r="F57" s="4" t="s">
        <v>25</v>
      </c>
      <c r="G57" s="5">
        <v>41200</v>
      </c>
      <c r="H57" s="5" t="s">
        <v>92</v>
      </c>
      <c r="I57" s="5" t="s">
        <v>236</v>
      </c>
      <c r="J57" s="8" t="s">
        <v>523</v>
      </c>
      <c r="K57" s="8" t="s">
        <v>33</v>
      </c>
      <c r="L57" s="8" t="s">
        <v>237</v>
      </c>
      <c r="M57" s="8" t="s">
        <v>84</v>
      </c>
      <c r="N57" s="8" t="str">
        <f>IF(ISBLANK(Table13[[#This Row],[Dealer_Name]]), "UNKNOWN", Table13[[#This Row],[Dealer_Name]])</f>
        <v>jeep nation</v>
      </c>
      <c r="O57" s="8" t="s">
        <v>85</v>
      </c>
      <c r="P57" s="8" t="s">
        <v>31</v>
      </c>
      <c r="Q57" s="10" t="s">
        <v>86</v>
      </c>
      <c r="R57" s="13" t="str">
        <f>IF(ISBLANK(Table13[[#This Row],[Engine_Size]]), "UNKNOWN",Table13[[#This Row],[Engine_Size]])</f>
        <v>3.6L</v>
      </c>
      <c r="S57" s="4" t="s">
        <v>46</v>
      </c>
      <c r="T57" s="8" t="str">
        <f>IF(ISBLANK(Table13[[#This Row],[Color]]), "UNKNOWN", Table13[[#This Row],[Color]])</f>
        <v>Black</v>
      </c>
      <c r="U57" s="13">
        <v>29000</v>
      </c>
      <c r="V57" s="4">
        <v>2020</v>
      </c>
      <c r="W57" s="4">
        <v>202403</v>
      </c>
      <c r="X57" s="15">
        <f t="shared" si="0"/>
        <v>45382</v>
      </c>
      <c r="Y57" s="4" t="s">
        <v>55</v>
      </c>
      <c r="Z57" s="4" t="s">
        <v>35</v>
      </c>
    </row>
    <row r="58" spans="1:26" x14ac:dyDescent="0.2">
      <c r="A58" s="4" t="s">
        <v>309</v>
      </c>
      <c r="B58" s="8" t="s">
        <v>255</v>
      </c>
      <c r="C58" s="8" t="s">
        <v>278</v>
      </c>
      <c r="D58" s="8" t="s">
        <v>90</v>
      </c>
      <c r="E58" s="4" t="s">
        <v>91</v>
      </c>
      <c r="F58" s="4" t="s">
        <v>25</v>
      </c>
      <c r="G58" s="5">
        <v>22900</v>
      </c>
      <c r="H58" s="5" t="s">
        <v>26</v>
      </c>
      <c r="I58" s="5" t="s">
        <v>279</v>
      </c>
      <c r="J58" s="8" t="s">
        <v>531</v>
      </c>
      <c r="K58" s="8" t="s">
        <v>493</v>
      </c>
      <c r="L58" s="8" t="s">
        <v>280</v>
      </c>
      <c r="M58" s="8" t="s">
        <v>67</v>
      </c>
      <c r="N58" s="8" t="str">
        <f>IF(ISBLANK(Table13[[#This Row],[Dealer_Name]]), "UNKNOWN", Table13[[#This Row],[Dealer_Name]])</f>
        <v>Ford Country</v>
      </c>
      <c r="O58" s="8" t="s">
        <v>68</v>
      </c>
      <c r="P58" s="8" t="s">
        <v>31</v>
      </c>
      <c r="Q58" s="10" t="s">
        <v>281</v>
      </c>
      <c r="R58" s="13" t="str">
        <f>IF(ISBLANK(Table13[[#This Row],[Engine_Size]]), "UNKNOWN",Table13[[#This Row],[Engine_Size]])</f>
        <v>1.0L</v>
      </c>
      <c r="S58" s="4" t="s">
        <v>33</v>
      </c>
      <c r="T58" s="8" t="str">
        <f>IF(ISBLANK(Table13[[#This Row],[Color]]), "UNKNOWN", Table13[[#This Row],[Color]])</f>
        <v>White</v>
      </c>
      <c r="U58" s="13">
        <v>19000</v>
      </c>
      <c r="V58" s="4">
        <v>2021</v>
      </c>
      <c r="W58" s="4">
        <v>202409</v>
      </c>
      <c r="X58" s="15">
        <f t="shared" si="0"/>
        <v>45565</v>
      </c>
      <c r="Y58" s="4" t="s">
        <v>134</v>
      </c>
      <c r="Z58" s="4" t="s">
        <v>79</v>
      </c>
    </row>
    <row r="59" spans="1:26" x14ac:dyDescent="0.2">
      <c r="A59" s="4" t="s">
        <v>310</v>
      </c>
      <c r="B59" s="8" t="s">
        <v>212</v>
      </c>
      <c r="C59" s="8" t="s">
        <v>250</v>
      </c>
      <c r="D59" s="8" t="s">
        <v>90</v>
      </c>
      <c r="E59" s="4" t="s">
        <v>91</v>
      </c>
      <c r="F59" s="4" t="s">
        <v>25</v>
      </c>
      <c r="G59" s="5">
        <v>51200</v>
      </c>
      <c r="H59" s="5" t="s">
        <v>92</v>
      </c>
      <c r="I59" s="5" t="s">
        <v>251</v>
      </c>
      <c r="J59" s="8" t="s">
        <v>526</v>
      </c>
      <c r="K59" s="8" t="s">
        <v>496</v>
      </c>
      <c r="L59" s="8" t="s">
        <v>252</v>
      </c>
      <c r="M59" s="8" t="s">
        <v>183</v>
      </c>
      <c r="N59" s="8" t="str">
        <f>IF(ISBLANK(Table13[[#This Row],[Dealer_Name]]), "UNKNOWN", Table13[[#This Row],[Dealer_Name]])</f>
        <v>Nissan Direct</v>
      </c>
      <c r="O59" s="8" t="s">
        <v>85</v>
      </c>
      <c r="P59" s="8" t="s">
        <v>31</v>
      </c>
      <c r="Q59" s="10" t="s">
        <v>253</v>
      </c>
      <c r="R59" s="13" t="str">
        <f>IF(ISBLANK(Table13[[#This Row],[Engine_Size]]), "UNKNOWN",Table13[[#This Row],[Engine_Size]])</f>
        <v>5.6L</v>
      </c>
      <c r="S59" s="4" t="s">
        <v>61</v>
      </c>
      <c r="T59" s="8" t="str">
        <f>IF(ISBLANK(Table13[[#This Row],[Color]]), "UNKNOWN", Table13[[#This Row],[Color]])</f>
        <v>Blue</v>
      </c>
      <c r="U59" s="13">
        <v>30000</v>
      </c>
      <c r="V59" s="4">
        <v>2020</v>
      </c>
      <c r="W59" s="4">
        <v>202407</v>
      </c>
      <c r="X59" s="15">
        <f t="shared" si="0"/>
        <v>45504</v>
      </c>
      <c r="Y59" s="4" t="s">
        <v>78</v>
      </c>
      <c r="Z59" s="4" t="s">
        <v>79</v>
      </c>
    </row>
    <row r="60" spans="1:26" x14ac:dyDescent="0.2">
      <c r="A60" s="4" t="s">
        <v>311</v>
      </c>
      <c r="B60" s="8" t="s">
        <v>222</v>
      </c>
      <c r="C60" s="8" t="s">
        <v>283</v>
      </c>
      <c r="D60" s="8" t="s">
        <v>90</v>
      </c>
      <c r="E60" s="4" t="s">
        <v>91</v>
      </c>
      <c r="F60" s="4" t="s">
        <v>25</v>
      </c>
      <c r="G60" s="5">
        <v>27900</v>
      </c>
      <c r="H60" s="5" t="s">
        <v>41</v>
      </c>
      <c r="I60" s="5" t="s">
        <v>284</v>
      </c>
      <c r="J60" s="8" t="s">
        <v>532</v>
      </c>
      <c r="K60" s="8" t="s">
        <v>477</v>
      </c>
      <c r="L60" s="8" t="s">
        <v>285</v>
      </c>
      <c r="M60" s="8" t="s">
        <v>142</v>
      </c>
      <c r="N60" s="8" t="str">
        <f>IF(ISBLANK(Table13[[#This Row],[Dealer_Name]]), "UNKNOWN", Table13[[#This Row],[Dealer_Name]])</f>
        <v>Jeep Nation</v>
      </c>
      <c r="O60" s="8" t="s">
        <v>85</v>
      </c>
      <c r="P60" s="8" t="s">
        <v>31</v>
      </c>
      <c r="Q60" s="10" t="s">
        <v>286</v>
      </c>
      <c r="R60" s="13" t="str">
        <f>IF(ISBLANK(Table13[[#This Row],[Engine_Size]]), "UNKNOWN",Table13[[#This Row],[Engine_Size]])</f>
        <v>1.3L</v>
      </c>
      <c r="S60" s="4" t="s">
        <v>54</v>
      </c>
      <c r="T60" s="8" t="str">
        <f>IF(ISBLANK(Table13[[#This Row],[Color]]), "UNKNOWN", Table13[[#This Row],[Color]])</f>
        <v>Silver</v>
      </c>
      <c r="U60" s="13">
        <v>13000</v>
      </c>
      <c r="V60" s="4">
        <v>2023</v>
      </c>
      <c r="W60" s="4">
        <v>202410</v>
      </c>
      <c r="X60" s="15">
        <f t="shared" si="0"/>
        <v>45596</v>
      </c>
      <c r="Y60" s="4" t="s">
        <v>157</v>
      </c>
      <c r="Z60" s="4" t="s">
        <v>158</v>
      </c>
    </row>
    <row r="61" spans="1:26" x14ac:dyDescent="0.2">
      <c r="A61" s="4" t="s">
        <v>312</v>
      </c>
      <c r="B61" s="8" t="s">
        <v>222</v>
      </c>
      <c r="C61" s="8" t="s">
        <v>223</v>
      </c>
      <c r="D61" s="8" t="s">
        <v>90</v>
      </c>
      <c r="E61" s="4" t="s">
        <v>91</v>
      </c>
      <c r="F61" s="4" t="s">
        <v>25</v>
      </c>
      <c r="G61" s="5">
        <v>41200</v>
      </c>
      <c r="H61" s="5" t="s">
        <v>92</v>
      </c>
      <c r="I61" s="5" t="s">
        <v>236</v>
      </c>
      <c r="J61" s="8" t="s">
        <v>523</v>
      </c>
      <c r="K61" s="8" t="s">
        <v>33</v>
      </c>
      <c r="L61" s="8" t="s">
        <v>237</v>
      </c>
      <c r="M61" s="8" t="s">
        <v>84</v>
      </c>
      <c r="N61" s="8" t="str">
        <f>IF(ISBLANK(Table13[[#This Row],[Dealer_Name]]), "UNKNOWN", Table13[[#This Row],[Dealer_Name]])</f>
        <v>jeep nation</v>
      </c>
      <c r="O61" s="8" t="s">
        <v>85</v>
      </c>
      <c r="P61" s="8" t="s">
        <v>31</v>
      </c>
      <c r="Q61" s="10" t="s">
        <v>86</v>
      </c>
      <c r="R61" s="13" t="str">
        <f>IF(ISBLANK(Table13[[#This Row],[Engine_Size]]), "UNKNOWN",Table13[[#This Row],[Engine_Size]])</f>
        <v>3.6L</v>
      </c>
      <c r="S61" s="4" t="s">
        <v>46</v>
      </c>
      <c r="T61" s="8" t="str">
        <f>IF(ISBLANK(Table13[[#This Row],[Color]]), "UNKNOWN", Table13[[#This Row],[Color]])</f>
        <v>Black</v>
      </c>
      <c r="U61" s="13">
        <v>29000</v>
      </c>
      <c r="V61" s="4">
        <v>2020</v>
      </c>
      <c r="W61" s="4">
        <v>202403</v>
      </c>
      <c r="X61" s="15">
        <f t="shared" si="0"/>
        <v>45382</v>
      </c>
      <c r="Y61" s="4" t="s">
        <v>55</v>
      </c>
      <c r="Z61" s="4" t="s">
        <v>35</v>
      </c>
    </row>
    <row r="62" spans="1:26" x14ac:dyDescent="0.2">
      <c r="A62" s="4" t="s">
        <v>313</v>
      </c>
      <c r="B62" s="8" t="s">
        <v>212</v>
      </c>
      <c r="C62" s="8" t="s">
        <v>304</v>
      </c>
      <c r="D62" s="8" t="s">
        <v>262</v>
      </c>
      <c r="E62" s="4" t="s">
        <v>305</v>
      </c>
      <c r="F62" s="4" t="s">
        <v>25</v>
      </c>
      <c r="G62" s="5">
        <v>115900</v>
      </c>
      <c r="H62" s="5" t="s">
        <v>264</v>
      </c>
      <c r="I62" s="5" t="s">
        <v>306</v>
      </c>
      <c r="J62" s="8" t="s">
        <v>537</v>
      </c>
      <c r="K62" s="8" t="s">
        <v>519</v>
      </c>
      <c r="L62" s="8" t="s">
        <v>307</v>
      </c>
      <c r="M62" s="8" t="s">
        <v>183</v>
      </c>
      <c r="N62" s="8" t="str">
        <f>IF(ISBLANK(Table13[[#This Row],[Dealer_Name]]), "UNKNOWN", Table13[[#This Row],[Dealer_Name]])</f>
        <v>Nissan Direct</v>
      </c>
      <c r="O62" s="8" t="s">
        <v>85</v>
      </c>
      <c r="P62" s="8" t="s">
        <v>31</v>
      </c>
      <c r="Q62" s="10" t="s">
        <v>128</v>
      </c>
      <c r="R62" s="13" t="str">
        <f>IF(ISBLANK(Table13[[#This Row],[Engine_Size]]), "UNKNOWN",Table13[[#This Row],[Engine_Size]])</f>
        <v>3.8L</v>
      </c>
      <c r="S62" s="4" t="s">
        <v>46</v>
      </c>
      <c r="T62" s="8" t="str">
        <f>IF(ISBLANK(Table13[[#This Row],[Color]]), "UNKNOWN", Table13[[#This Row],[Color]])</f>
        <v>Black</v>
      </c>
      <c r="U62" s="13">
        <v>2500</v>
      </c>
      <c r="V62" s="4">
        <v>2024</v>
      </c>
      <c r="W62" s="4">
        <v>202412</v>
      </c>
      <c r="X62" s="15">
        <f t="shared" si="0"/>
        <v>45657</v>
      </c>
      <c r="Y62" s="4" t="s">
        <v>197</v>
      </c>
      <c r="Z62" s="4" t="s">
        <v>158</v>
      </c>
    </row>
    <row r="63" spans="1:26" x14ac:dyDescent="0.2">
      <c r="A63" s="4" t="s">
        <v>314</v>
      </c>
      <c r="B63" s="8" t="s">
        <v>273</v>
      </c>
      <c r="C63" s="8" t="s">
        <v>274</v>
      </c>
      <c r="D63" s="8" t="s">
        <v>90</v>
      </c>
      <c r="E63" s="4" t="s">
        <v>91</v>
      </c>
      <c r="F63" s="4" t="s">
        <v>25</v>
      </c>
      <c r="G63" s="5">
        <v>35200</v>
      </c>
      <c r="H63" s="5" t="s">
        <v>41</v>
      </c>
      <c r="I63" s="5" t="s">
        <v>275</v>
      </c>
      <c r="J63" s="8" t="s">
        <v>530</v>
      </c>
      <c r="K63" s="8" t="s">
        <v>33</v>
      </c>
      <c r="L63" s="8" t="s">
        <v>276</v>
      </c>
      <c r="M63" s="8" t="s">
        <v>99</v>
      </c>
      <c r="N63" s="8" t="str">
        <f>IF(ISBLANK(Table13[[#This Row],[Dealer_Name]]), "UNKNOWN", Table13[[#This Row],[Dealer_Name]])</f>
        <v>Chevy World</v>
      </c>
      <c r="O63" s="8" t="s">
        <v>68</v>
      </c>
      <c r="P63" s="8" t="s">
        <v>31</v>
      </c>
      <c r="Q63" s="10" t="s">
        <v>60</v>
      </c>
      <c r="R63" s="13" t="str">
        <f>IF(ISBLANK(Table13[[#This Row],[Engine_Size]]), "UNKNOWN",Table13[[#This Row],[Engine_Size]])</f>
        <v>2.5L</v>
      </c>
      <c r="S63" s="4" t="s">
        <v>46</v>
      </c>
      <c r="T63" s="8" t="str">
        <f>IF(ISBLANK(Table13[[#This Row],[Color]]), "UNKNOWN", Table13[[#This Row],[Color]])</f>
        <v>Black</v>
      </c>
      <c r="U63" s="13">
        <v>25000</v>
      </c>
      <c r="V63" s="4">
        <v>2020</v>
      </c>
      <c r="W63" s="4">
        <v>202409</v>
      </c>
      <c r="X63" s="15">
        <f t="shared" si="0"/>
        <v>45565</v>
      </c>
      <c r="Y63" s="4" t="s">
        <v>134</v>
      </c>
      <c r="Z63" s="4" t="s">
        <v>79</v>
      </c>
    </row>
    <row r="64" spans="1:26" x14ac:dyDescent="0.2">
      <c r="A64" s="4" t="s">
        <v>315</v>
      </c>
      <c r="B64" s="8" t="s">
        <v>217</v>
      </c>
      <c r="C64" s="8" t="s">
        <v>292</v>
      </c>
      <c r="D64" s="8" t="s">
        <v>23</v>
      </c>
      <c r="E64" s="4" t="s">
        <v>73</v>
      </c>
      <c r="F64" s="4" t="s">
        <v>25</v>
      </c>
      <c r="G64" s="5">
        <v>34500</v>
      </c>
      <c r="H64" s="5" t="s">
        <v>41</v>
      </c>
      <c r="I64" s="5" t="s">
        <v>293</v>
      </c>
      <c r="J64" s="8" t="s">
        <v>534</v>
      </c>
      <c r="K64" s="8" t="s">
        <v>475</v>
      </c>
      <c r="L64" s="8" t="s">
        <v>294</v>
      </c>
      <c r="M64" s="8" t="s">
        <v>138</v>
      </c>
      <c r="N64" s="8" t="str">
        <f>IF(ISBLANK(Table13[[#This Row],[Dealer_Name]]), "UNKNOWN", Table13[[#This Row],[Dealer_Name]])</f>
        <v>hyundai plus</v>
      </c>
      <c r="O64" s="8" t="s">
        <v>30</v>
      </c>
      <c r="P64" s="8" t="s">
        <v>31</v>
      </c>
      <c r="Q64" s="10" t="s">
        <v>156</v>
      </c>
      <c r="R64" s="13" t="str">
        <f>IF(ISBLANK(Table13[[#This Row],[Engine_Size]]), "UNKNOWN",Table13[[#This Row],[Engine_Size]])</f>
        <v>2.0L</v>
      </c>
      <c r="S64" s="4" t="s">
        <v>70</v>
      </c>
      <c r="T64" s="8" t="str">
        <f>IF(ISBLANK(Table13[[#This Row],[Color]]), "UNKNOWN", Table13[[#This Row],[Color]])</f>
        <v>Red</v>
      </c>
      <c r="U64" s="13">
        <v>5000</v>
      </c>
      <c r="V64" s="4">
        <v>2024</v>
      </c>
      <c r="W64" s="4">
        <v>202411</v>
      </c>
      <c r="X64" s="15">
        <f t="shared" si="0"/>
        <v>45626</v>
      </c>
      <c r="Y64" s="4" t="s">
        <v>179</v>
      </c>
      <c r="Z64" s="4" t="s">
        <v>158</v>
      </c>
    </row>
    <row r="65" spans="1:26" x14ac:dyDescent="0.2">
      <c r="A65" s="4" t="s">
        <v>316</v>
      </c>
      <c r="B65" s="8" t="s">
        <v>255</v>
      </c>
      <c r="C65" s="8" t="s">
        <v>296</v>
      </c>
      <c r="D65" s="8" t="s">
        <v>90</v>
      </c>
      <c r="E65" s="4" t="s">
        <v>91</v>
      </c>
      <c r="F65" s="4" t="s">
        <v>25</v>
      </c>
      <c r="G65" s="5">
        <v>29800</v>
      </c>
      <c r="H65" s="5" t="s">
        <v>41</v>
      </c>
      <c r="I65" s="5" t="s">
        <v>297</v>
      </c>
      <c r="J65" s="8" t="s">
        <v>535</v>
      </c>
      <c r="K65" s="8" t="s">
        <v>484</v>
      </c>
      <c r="L65" s="8" t="s">
        <v>298</v>
      </c>
      <c r="M65" s="8" t="s">
        <v>67</v>
      </c>
      <c r="N65" s="8" t="str">
        <f>IF(ISBLANK(Table13[[#This Row],[Dealer_Name]]), "UNKNOWN", Table13[[#This Row],[Dealer_Name]])</f>
        <v>Ford Country</v>
      </c>
      <c r="O65" s="8" t="s">
        <v>68</v>
      </c>
      <c r="P65" s="8" t="s">
        <v>31</v>
      </c>
      <c r="Q65" s="10" t="s">
        <v>53</v>
      </c>
      <c r="R65" s="13" t="str">
        <f>IF(ISBLANK(Table13[[#This Row],[Engine_Size]]), "UNKNOWN",Table13[[#This Row],[Engine_Size]])</f>
        <v>1.5L</v>
      </c>
      <c r="S65" s="4" t="s">
        <v>143</v>
      </c>
      <c r="T65" s="8" t="str">
        <f>IF(ISBLANK(Table13[[#This Row],[Color]]), "UNKNOWN", Table13[[#This Row],[Color]])</f>
        <v>Green</v>
      </c>
      <c r="U65" s="13">
        <v>9000</v>
      </c>
      <c r="V65" s="4">
        <v>2023</v>
      </c>
      <c r="W65" s="4">
        <v>202411</v>
      </c>
      <c r="X65" s="15">
        <f t="shared" si="0"/>
        <v>45626</v>
      </c>
      <c r="Y65" s="4" t="s">
        <v>179</v>
      </c>
      <c r="Z65" s="4" t="s">
        <v>158</v>
      </c>
    </row>
    <row r="66" spans="1:26" x14ac:dyDescent="0.2">
      <c r="A66" s="4" t="s">
        <v>317</v>
      </c>
      <c r="B66" s="8" t="s">
        <v>222</v>
      </c>
      <c r="C66" s="8" t="s">
        <v>283</v>
      </c>
      <c r="D66" s="8" t="s">
        <v>90</v>
      </c>
      <c r="E66" s="4" t="s">
        <v>91</v>
      </c>
      <c r="F66" s="4" t="s">
        <v>25</v>
      </c>
      <c r="G66" s="5">
        <v>27900</v>
      </c>
      <c r="H66" s="5" t="s">
        <v>41</v>
      </c>
      <c r="I66" s="5" t="s">
        <v>284</v>
      </c>
      <c r="J66" s="8" t="s">
        <v>532</v>
      </c>
      <c r="K66" s="8" t="s">
        <v>477</v>
      </c>
      <c r="L66" s="8" t="s">
        <v>285</v>
      </c>
      <c r="M66" s="8" t="s">
        <v>142</v>
      </c>
      <c r="N66" s="8" t="str">
        <f>IF(ISBLANK(Table13[[#This Row],[Dealer_Name]]), "UNKNOWN", Table13[[#This Row],[Dealer_Name]])</f>
        <v>Jeep Nation</v>
      </c>
      <c r="O66" s="8" t="s">
        <v>85</v>
      </c>
      <c r="P66" s="8" t="s">
        <v>31</v>
      </c>
      <c r="Q66" s="10" t="s">
        <v>286</v>
      </c>
      <c r="R66" s="13" t="str">
        <f>IF(ISBLANK(Table13[[#This Row],[Engine_Size]]), "UNKNOWN",Table13[[#This Row],[Engine_Size]])</f>
        <v>1.3L</v>
      </c>
      <c r="S66" s="4" t="s">
        <v>54</v>
      </c>
      <c r="T66" s="8" t="str">
        <f>IF(ISBLANK(Table13[[#This Row],[Color]]), "UNKNOWN", Table13[[#This Row],[Color]])</f>
        <v>Silver</v>
      </c>
      <c r="U66" s="13">
        <v>13000</v>
      </c>
      <c r="V66" s="4">
        <v>2023</v>
      </c>
      <c r="W66" s="4">
        <v>202410</v>
      </c>
      <c r="X66" s="15">
        <f t="shared" ref="X66:X129" si="1">EOMONTH(DATE(LEFT(W66,4), RIGHT(W66,2), 1), 0)</f>
        <v>45596</v>
      </c>
      <c r="Y66" s="4" t="s">
        <v>157</v>
      </c>
      <c r="Z66" s="4" t="s">
        <v>158</v>
      </c>
    </row>
    <row r="67" spans="1:26" x14ac:dyDescent="0.2">
      <c r="A67" s="4" t="s">
        <v>318</v>
      </c>
      <c r="B67" s="8" t="s">
        <v>222</v>
      </c>
      <c r="C67" s="8" t="s">
        <v>223</v>
      </c>
      <c r="D67" s="8" t="s">
        <v>90</v>
      </c>
      <c r="E67" s="4" t="s">
        <v>91</v>
      </c>
      <c r="F67" s="4" t="s">
        <v>25</v>
      </c>
      <c r="G67" s="5">
        <v>38900</v>
      </c>
      <c r="H67" s="5" t="s">
        <v>41</v>
      </c>
      <c r="I67" s="5" t="s">
        <v>224</v>
      </c>
      <c r="J67" s="8" t="s">
        <v>499</v>
      </c>
      <c r="K67" s="8" t="s">
        <v>519</v>
      </c>
      <c r="L67" s="8" t="s">
        <v>225</v>
      </c>
      <c r="M67" s="8" t="s">
        <v>142</v>
      </c>
      <c r="N67" s="8" t="str">
        <f>IF(ISBLANK(Table13[[#This Row],[Dealer_Name]]), "UNKNOWN", Table13[[#This Row],[Dealer_Name]])</f>
        <v>Jeep Nation</v>
      </c>
      <c r="O67" s="8" t="s">
        <v>85</v>
      </c>
      <c r="P67" s="8" t="s">
        <v>31</v>
      </c>
      <c r="Q67" s="10" t="s">
        <v>86</v>
      </c>
      <c r="R67" s="13" t="str">
        <f>IF(ISBLANK(Table13[[#This Row],[Engine_Size]]), "UNKNOWN",Table13[[#This Row],[Engine_Size]])</f>
        <v>3.6L</v>
      </c>
      <c r="S67" s="4" t="s">
        <v>101</v>
      </c>
      <c r="T67" s="8" t="str">
        <f>IF(ISBLANK(Table13[[#This Row],[Color]]), "UNKNOWN", Table13[[#This Row],[Color]])</f>
        <v>Gray</v>
      </c>
      <c r="U67" s="13">
        <v>35000</v>
      </c>
      <c r="V67" s="4">
        <v>2020</v>
      </c>
      <c r="W67" s="4">
        <v>202402</v>
      </c>
      <c r="X67" s="15">
        <f t="shared" si="1"/>
        <v>45351</v>
      </c>
      <c r="Y67" s="4" t="s">
        <v>47</v>
      </c>
      <c r="Z67" s="4" t="s">
        <v>35</v>
      </c>
    </row>
    <row r="68" spans="1:26" x14ac:dyDescent="0.2">
      <c r="A68" s="4" t="s">
        <v>319</v>
      </c>
      <c r="B68" s="8" t="s">
        <v>255</v>
      </c>
      <c r="C68" s="8" t="s">
        <v>296</v>
      </c>
      <c r="D68" s="8" t="s">
        <v>90</v>
      </c>
      <c r="E68" s="4" t="s">
        <v>91</v>
      </c>
      <c r="F68" s="4" t="s">
        <v>25</v>
      </c>
      <c r="G68" s="5">
        <v>29800</v>
      </c>
      <c r="H68" s="5" t="s">
        <v>41</v>
      </c>
      <c r="I68" s="5" t="s">
        <v>297</v>
      </c>
      <c r="J68" s="8" t="s">
        <v>535</v>
      </c>
      <c r="K68" s="8" t="s">
        <v>484</v>
      </c>
      <c r="L68" s="8" t="s">
        <v>298</v>
      </c>
      <c r="M68" s="8" t="s">
        <v>67</v>
      </c>
      <c r="N68" s="8" t="str">
        <f>IF(ISBLANK(Table13[[#This Row],[Dealer_Name]]), "UNKNOWN", Table13[[#This Row],[Dealer_Name]])</f>
        <v>Ford Country</v>
      </c>
      <c r="O68" s="8" t="s">
        <v>68</v>
      </c>
      <c r="P68" s="8" t="s">
        <v>31</v>
      </c>
      <c r="Q68" s="10" t="s">
        <v>53</v>
      </c>
      <c r="R68" s="13" t="str">
        <f>IF(ISBLANK(Table13[[#This Row],[Engine_Size]]), "UNKNOWN",Table13[[#This Row],[Engine_Size]])</f>
        <v>1.5L</v>
      </c>
      <c r="S68" s="4" t="s">
        <v>143</v>
      </c>
      <c r="T68" s="8" t="str">
        <f>IF(ISBLANK(Table13[[#This Row],[Color]]), "UNKNOWN", Table13[[#This Row],[Color]])</f>
        <v>Green</v>
      </c>
      <c r="U68" s="13">
        <v>9000</v>
      </c>
      <c r="V68" s="4">
        <v>2023</v>
      </c>
      <c r="W68" s="4">
        <v>202411</v>
      </c>
      <c r="X68" s="15">
        <f t="shared" si="1"/>
        <v>45626</v>
      </c>
      <c r="Y68" s="4" t="s">
        <v>179</v>
      </c>
      <c r="Z68" s="4" t="s">
        <v>158</v>
      </c>
    </row>
    <row r="69" spans="1:26" x14ac:dyDescent="0.2">
      <c r="A69" s="4" t="s">
        <v>320</v>
      </c>
      <c r="B69" s="8" t="s">
        <v>217</v>
      </c>
      <c r="C69" s="8" t="s">
        <v>218</v>
      </c>
      <c r="D69" s="8" t="s">
        <v>23</v>
      </c>
      <c r="E69" s="4" t="s">
        <v>464</v>
      </c>
      <c r="F69" s="4" t="s">
        <v>25</v>
      </c>
      <c r="G69" s="5">
        <v>22900</v>
      </c>
      <c r="H69" s="5" t="s">
        <v>26</v>
      </c>
      <c r="I69" s="5" t="s">
        <v>219</v>
      </c>
      <c r="J69" s="8" t="s">
        <v>517</v>
      </c>
      <c r="K69" s="8" t="s">
        <v>518</v>
      </c>
      <c r="L69" s="8" t="s">
        <v>220</v>
      </c>
      <c r="M69" s="8" t="s">
        <v>44</v>
      </c>
      <c r="N69" s="8" t="str">
        <f>IF(ISBLANK(Table13[[#This Row],[Dealer_Name]]), "UNKNOWN", Table13[[#This Row],[Dealer_Name]])</f>
        <v>Hyundai Plus</v>
      </c>
      <c r="O69" s="8" t="s">
        <v>30</v>
      </c>
      <c r="P69" s="8" t="s">
        <v>31</v>
      </c>
      <c r="Q69" s="10" t="s">
        <v>156</v>
      </c>
      <c r="R69" s="13" t="str">
        <f>IF(ISBLANK(Table13[[#This Row],[Engine_Size]]), "UNKNOWN",Table13[[#This Row],[Engine_Size]])</f>
        <v>2.0L</v>
      </c>
      <c r="S69" s="4" t="s">
        <v>70</v>
      </c>
      <c r="T69" s="8" t="str">
        <f>IF(ISBLANK(Table13[[#This Row],[Color]]), "UNKNOWN", Table13[[#This Row],[Color]])</f>
        <v>Red</v>
      </c>
      <c r="U69" s="13">
        <v>12000</v>
      </c>
      <c r="V69" s="4">
        <v>2022</v>
      </c>
      <c r="W69" s="4">
        <v>202402</v>
      </c>
      <c r="X69" s="15">
        <f t="shared" si="1"/>
        <v>45351</v>
      </c>
      <c r="Y69" s="4" t="s">
        <v>47</v>
      </c>
      <c r="Z69" s="4" t="s">
        <v>35</v>
      </c>
    </row>
    <row r="70" spans="1:26" x14ac:dyDescent="0.2">
      <c r="A70" s="4" t="s">
        <v>321</v>
      </c>
      <c r="B70" s="8" t="s">
        <v>273</v>
      </c>
      <c r="C70" s="8" t="s">
        <v>288</v>
      </c>
      <c r="D70" s="8" t="s">
        <v>23</v>
      </c>
      <c r="E70" s="4" t="s">
        <v>73</v>
      </c>
      <c r="F70" s="4" t="s">
        <v>25</v>
      </c>
      <c r="G70" s="5">
        <v>26900</v>
      </c>
      <c r="H70" s="5" t="s">
        <v>41</v>
      </c>
      <c r="I70" s="5" t="s">
        <v>289</v>
      </c>
      <c r="J70" s="8" t="s">
        <v>533</v>
      </c>
      <c r="K70" s="8" t="s">
        <v>33</v>
      </c>
      <c r="L70" s="8" t="s">
        <v>290</v>
      </c>
      <c r="M70" s="8" t="s">
        <v>99</v>
      </c>
      <c r="N70" s="8" t="str">
        <f>IF(ISBLANK(Table13[[#This Row],[Dealer_Name]]), "UNKNOWN", Table13[[#This Row],[Dealer_Name]])</f>
        <v>Chevy World</v>
      </c>
      <c r="O70" s="8" t="s">
        <v>68</v>
      </c>
      <c r="P70" s="8" t="s">
        <v>166</v>
      </c>
      <c r="R70" s="14" t="str">
        <f>IF(ISBLANK(Table13[[#This Row],[Engine_Size]]), "UNKNOWN",Table13[[#This Row],[Engine_Size]])</f>
        <v>UNKNOWN</v>
      </c>
      <c r="S70" s="4" t="s">
        <v>70</v>
      </c>
      <c r="T70" s="8" t="str">
        <f>IF(ISBLANK(Table13[[#This Row],[Color]]), "UNKNOWN", Table13[[#This Row],[Color]])</f>
        <v>Red</v>
      </c>
      <c r="U70" s="13">
        <v>8000</v>
      </c>
      <c r="V70" s="4">
        <v>2023</v>
      </c>
      <c r="W70" s="4">
        <v>202410</v>
      </c>
      <c r="X70" s="15">
        <f t="shared" si="1"/>
        <v>45596</v>
      </c>
      <c r="Y70" s="4" t="s">
        <v>157</v>
      </c>
      <c r="Z70" s="4" t="s">
        <v>158</v>
      </c>
    </row>
    <row r="71" spans="1:26" x14ac:dyDescent="0.2">
      <c r="A71" s="4" t="s">
        <v>322</v>
      </c>
      <c r="B71" s="8" t="s">
        <v>222</v>
      </c>
      <c r="C71" s="8" t="s">
        <v>283</v>
      </c>
      <c r="D71" s="8" t="s">
        <v>90</v>
      </c>
      <c r="E71" s="4" t="s">
        <v>91</v>
      </c>
      <c r="F71" s="4" t="s">
        <v>25</v>
      </c>
      <c r="G71" s="5">
        <v>27900</v>
      </c>
      <c r="H71" s="5" t="s">
        <v>41</v>
      </c>
      <c r="I71" s="5" t="s">
        <v>284</v>
      </c>
      <c r="J71" s="8" t="s">
        <v>532</v>
      </c>
      <c r="K71" s="8" t="s">
        <v>477</v>
      </c>
      <c r="L71" s="8" t="s">
        <v>285</v>
      </c>
      <c r="M71" s="8" t="s">
        <v>142</v>
      </c>
      <c r="N71" s="8" t="str">
        <f>IF(ISBLANK(Table13[[#This Row],[Dealer_Name]]), "UNKNOWN", Table13[[#This Row],[Dealer_Name]])</f>
        <v>Jeep Nation</v>
      </c>
      <c r="O71" s="8" t="s">
        <v>85</v>
      </c>
      <c r="P71" s="8" t="s">
        <v>31</v>
      </c>
      <c r="Q71" s="10" t="s">
        <v>286</v>
      </c>
      <c r="R71" s="13" t="str">
        <f>IF(ISBLANK(Table13[[#This Row],[Engine_Size]]), "UNKNOWN",Table13[[#This Row],[Engine_Size]])</f>
        <v>1.3L</v>
      </c>
      <c r="S71" s="4" t="s">
        <v>54</v>
      </c>
      <c r="T71" s="8" t="str">
        <f>IF(ISBLANK(Table13[[#This Row],[Color]]), "UNKNOWN", Table13[[#This Row],[Color]])</f>
        <v>Silver</v>
      </c>
      <c r="U71" s="13">
        <v>13000</v>
      </c>
      <c r="V71" s="4">
        <v>2023</v>
      </c>
      <c r="W71" s="4">
        <v>202410</v>
      </c>
      <c r="X71" s="15">
        <f t="shared" si="1"/>
        <v>45596</v>
      </c>
      <c r="Y71" s="4" t="s">
        <v>157</v>
      </c>
      <c r="Z71" s="4" t="s">
        <v>158</v>
      </c>
    </row>
    <row r="72" spans="1:26" x14ac:dyDescent="0.2">
      <c r="A72" s="4" t="s">
        <v>323</v>
      </c>
      <c r="B72" s="8" t="s">
        <v>212</v>
      </c>
      <c r="C72" s="8" t="s">
        <v>213</v>
      </c>
      <c r="D72" s="8" t="s">
        <v>23</v>
      </c>
      <c r="E72" s="4" t="s">
        <v>73</v>
      </c>
      <c r="F72" s="4" t="s">
        <v>25</v>
      </c>
      <c r="G72" s="5">
        <v>26800</v>
      </c>
      <c r="H72" s="5" t="s">
        <v>41</v>
      </c>
      <c r="I72" s="5" t="s">
        <v>214</v>
      </c>
      <c r="J72" s="8" t="s">
        <v>515</v>
      </c>
      <c r="K72" s="8" t="s">
        <v>516</v>
      </c>
      <c r="L72" s="8" t="s">
        <v>215</v>
      </c>
      <c r="N72" s="9" t="str">
        <f>IF(ISBLANK(Table13[[#This Row],[Dealer_Name]]), "UNKNOWN", Table13[[#This Row],[Dealer_Name]])</f>
        <v>UNKNOWN</v>
      </c>
      <c r="O72" s="8" t="s">
        <v>52</v>
      </c>
      <c r="P72" s="8" t="s">
        <v>31</v>
      </c>
      <c r="Q72" s="10" t="s">
        <v>60</v>
      </c>
      <c r="R72" s="13" t="str">
        <f>IF(ISBLANK(Table13[[#This Row],[Engine_Size]]), "UNKNOWN",Table13[[#This Row],[Engine_Size]])</f>
        <v>2.5L</v>
      </c>
      <c r="S72" s="4" t="s">
        <v>54</v>
      </c>
      <c r="T72" s="8" t="str">
        <f>IF(ISBLANK(Table13[[#This Row],[Color]]), "UNKNOWN", Table13[[#This Row],[Color]])</f>
        <v>Silver</v>
      </c>
      <c r="U72" s="13">
        <v>22000</v>
      </c>
      <c r="V72" s="4">
        <v>2020</v>
      </c>
      <c r="W72" s="4">
        <v>202402</v>
      </c>
      <c r="X72" s="15">
        <f t="shared" si="1"/>
        <v>45351</v>
      </c>
      <c r="Y72" s="4" t="s">
        <v>47</v>
      </c>
      <c r="Z72" s="4" t="s">
        <v>35</v>
      </c>
    </row>
    <row r="73" spans="1:26" x14ac:dyDescent="0.2">
      <c r="A73" s="4" t="s">
        <v>324</v>
      </c>
      <c r="B73" s="8" t="s">
        <v>255</v>
      </c>
      <c r="C73" s="8" t="s">
        <v>296</v>
      </c>
      <c r="D73" s="8" t="s">
        <v>90</v>
      </c>
      <c r="E73" s="4" t="s">
        <v>91</v>
      </c>
      <c r="F73" s="4" t="s">
        <v>25</v>
      </c>
      <c r="G73" s="5">
        <v>29800</v>
      </c>
      <c r="H73" s="5" t="s">
        <v>41</v>
      </c>
      <c r="I73" s="5" t="s">
        <v>297</v>
      </c>
      <c r="J73" s="8" t="s">
        <v>535</v>
      </c>
      <c r="K73" s="8" t="s">
        <v>484</v>
      </c>
      <c r="L73" s="8" t="s">
        <v>298</v>
      </c>
      <c r="M73" s="8" t="s">
        <v>67</v>
      </c>
      <c r="N73" s="8" t="str">
        <f>IF(ISBLANK(Table13[[#This Row],[Dealer_Name]]), "UNKNOWN", Table13[[#This Row],[Dealer_Name]])</f>
        <v>Ford Country</v>
      </c>
      <c r="O73" s="8" t="s">
        <v>68</v>
      </c>
      <c r="P73" s="8" t="s">
        <v>31</v>
      </c>
      <c r="Q73" s="10" t="s">
        <v>53</v>
      </c>
      <c r="R73" s="13" t="str">
        <f>IF(ISBLANK(Table13[[#This Row],[Engine_Size]]), "UNKNOWN",Table13[[#This Row],[Engine_Size]])</f>
        <v>1.5L</v>
      </c>
      <c r="S73" s="4" t="s">
        <v>143</v>
      </c>
      <c r="T73" s="8" t="str">
        <f>IF(ISBLANK(Table13[[#This Row],[Color]]), "UNKNOWN", Table13[[#This Row],[Color]])</f>
        <v>Green</v>
      </c>
      <c r="U73" s="13">
        <v>9000</v>
      </c>
      <c r="V73" s="4">
        <v>2023</v>
      </c>
      <c r="W73" s="4">
        <v>202411</v>
      </c>
      <c r="X73" s="15">
        <f t="shared" si="1"/>
        <v>45626</v>
      </c>
      <c r="Y73" s="4" t="s">
        <v>179</v>
      </c>
      <c r="Z73" s="4" t="s">
        <v>158</v>
      </c>
    </row>
    <row r="74" spans="1:26" x14ac:dyDescent="0.2">
      <c r="A74" s="4" t="s">
        <v>325</v>
      </c>
      <c r="B74" s="8" t="s">
        <v>212</v>
      </c>
      <c r="C74" s="8" t="s">
        <v>213</v>
      </c>
      <c r="D74" s="8" t="s">
        <v>23</v>
      </c>
      <c r="E74" s="4" t="s">
        <v>73</v>
      </c>
      <c r="F74" s="4" t="s">
        <v>25</v>
      </c>
      <c r="G74" s="5">
        <v>27500</v>
      </c>
      <c r="H74" s="5" t="s">
        <v>41</v>
      </c>
      <c r="I74" s="5" t="s">
        <v>233</v>
      </c>
      <c r="J74" s="8" t="s">
        <v>522</v>
      </c>
      <c r="K74" s="8" t="s">
        <v>496</v>
      </c>
      <c r="L74" s="8" t="s">
        <v>234</v>
      </c>
      <c r="M74" s="8" t="s">
        <v>183</v>
      </c>
      <c r="N74" s="8" t="str">
        <f>IF(ISBLANK(Table13[[#This Row],[Dealer_Name]]), "UNKNOWN", Table13[[#This Row],[Dealer_Name]])</f>
        <v>Nissan Direct</v>
      </c>
      <c r="O74" s="8" t="s">
        <v>85</v>
      </c>
      <c r="P74" s="8" t="s">
        <v>31</v>
      </c>
      <c r="Q74" s="10" t="s">
        <v>60</v>
      </c>
      <c r="R74" s="13" t="str">
        <f>IF(ISBLANK(Table13[[#This Row],[Engine_Size]]), "UNKNOWN",Table13[[#This Row],[Engine_Size]])</f>
        <v>2.5L</v>
      </c>
      <c r="T74" s="9" t="str">
        <f>IF(ISBLANK(Table13[[#This Row],[Color]]), "UNKNOWN", Table13[[#This Row],[Color]])</f>
        <v>UNKNOWN</v>
      </c>
      <c r="U74" s="13">
        <v>26000</v>
      </c>
      <c r="V74" s="4">
        <v>2020</v>
      </c>
      <c r="W74" s="4">
        <v>202403</v>
      </c>
      <c r="X74" s="15">
        <f t="shared" si="1"/>
        <v>45382</v>
      </c>
      <c r="Y74" s="4" t="s">
        <v>55</v>
      </c>
      <c r="Z74" s="4" t="s">
        <v>35</v>
      </c>
    </row>
    <row r="75" spans="1:26" x14ac:dyDescent="0.2">
      <c r="A75" s="4" t="s">
        <v>326</v>
      </c>
      <c r="B75" s="8" t="s">
        <v>212</v>
      </c>
      <c r="C75" s="8" t="s">
        <v>213</v>
      </c>
      <c r="D75" s="8" t="s">
        <v>23</v>
      </c>
      <c r="E75" s="4" t="s">
        <v>73</v>
      </c>
      <c r="F75" s="4" t="s">
        <v>25</v>
      </c>
      <c r="G75" s="5">
        <v>26800</v>
      </c>
      <c r="H75" s="5" t="s">
        <v>41</v>
      </c>
      <c r="I75" s="5" t="s">
        <v>214</v>
      </c>
      <c r="J75" s="8" t="s">
        <v>515</v>
      </c>
      <c r="K75" s="8" t="s">
        <v>516</v>
      </c>
      <c r="L75" s="8" t="s">
        <v>215</v>
      </c>
      <c r="N75" s="9" t="str">
        <f>IF(ISBLANK(Table13[[#This Row],[Dealer_Name]]), "UNKNOWN", Table13[[#This Row],[Dealer_Name]])</f>
        <v>UNKNOWN</v>
      </c>
      <c r="O75" s="8" t="s">
        <v>52</v>
      </c>
      <c r="P75" s="8" t="s">
        <v>31</v>
      </c>
      <c r="Q75" s="10" t="s">
        <v>60</v>
      </c>
      <c r="R75" s="13" t="str">
        <f>IF(ISBLANK(Table13[[#This Row],[Engine_Size]]), "UNKNOWN",Table13[[#This Row],[Engine_Size]])</f>
        <v>2.5L</v>
      </c>
      <c r="S75" s="4" t="s">
        <v>54</v>
      </c>
      <c r="T75" s="8" t="str">
        <f>IF(ISBLANK(Table13[[#This Row],[Color]]), "UNKNOWN", Table13[[#This Row],[Color]])</f>
        <v>Silver</v>
      </c>
      <c r="U75" s="13">
        <v>22000</v>
      </c>
      <c r="V75" s="4">
        <v>2020</v>
      </c>
      <c r="W75" s="4">
        <v>202402</v>
      </c>
      <c r="X75" s="15">
        <f t="shared" si="1"/>
        <v>45351</v>
      </c>
      <c r="Y75" s="4" t="s">
        <v>47</v>
      </c>
      <c r="Z75" s="4" t="s">
        <v>35</v>
      </c>
    </row>
    <row r="76" spans="1:26" x14ac:dyDescent="0.2">
      <c r="A76" s="4" t="s">
        <v>327</v>
      </c>
      <c r="B76" s="8" t="s">
        <v>222</v>
      </c>
      <c r="C76" s="8" t="s">
        <v>283</v>
      </c>
      <c r="D76" s="8" t="s">
        <v>90</v>
      </c>
      <c r="E76" s="4" t="s">
        <v>91</v>
      </c>
      <c r="F76" s="4" t="s">
        <v>25</v>
      </c>
      <c r="G76" s="5">
        <v>27900</v>
      </c>
      <c r="H76" s="5" t="s">
        <v>41</v>
      </c>
      <c r="I76" s="5" t="s">
        <v>284</v>
      </c>
      <c r="J76" s="8" t="s">
        <v>532</v>
      </c>
      <c r="K76" s="8" t="s">
        <v>477</v>
      </c>
      <c r="L76" s="8" t="s">
        <v>285</v>
      </c>
      <c r="M76" s="8" t="s">
        <v>142</v>
      </c>
      <c r="N76" s="8" t="str">
        <f>IF(ISBLANK(Table13[[#This Row],[Dealer_Name]]), "UNKNOWN", Table13[[#This Row],[Dealer_Name]])</f>
        <v>Jeep Nation</v>
      </c>
      <c r="O76" s="8" t="s">
        <v>85</v>
      </c>
      <c r="P76" s="8" t="s">
        <v>31</v>
      </c>
      <c r="Q76" s="10" t="s">
        <v>286</v>
      </c>
      <c r="R76" s="13" t="str">
        <f>IF(ISBLANK(Table13[[#This Row],[Engine_Size]]), "UNKNOWN",Table13[[#This Row],[Engine_Size]])</f>
        <v>1.3L</v>
      </c>
      <c r="S76" s="4" t="s">
        <v>54</v>
      </c>
      <c r="T76" s="8" t="str">
        <f>IF(ISBLANK(Table13[[#This Row],[Color]]), "UNKNOWN", Table13[[#This Row],[Color]])</f>
        <v>Silver</v>
      </c>
      <c r="U76" s="13">
        <v>13000</v>
      </c>
      <c r="V76" s="4">
        <v>2023</v>
      </c>
      <c r="W76" s="4">
        <v>202410</v>
      </c>
      <c r="X76" s="15">
        <f t="shared" si="1"/>
        <v>45596</v>
      </c>
      <c r="Y76" s="4" t="s">
        <v>157</v>
      </c>
      <c r="Z76" s="4" t="s">
        <v>158</v>
      </c>
    </row>
    <row r="77" spans="1:26" x14ac:dyDescent="0.2">
      <c r="A77" s="4" t="s">
        <v>328</v>
      </c>
      <c r="B77" s="8" t="s">
        <v>207</v>
      </c>
      <c r="C77" s="8" t="s">
        <v>208</v>
      </c>
      <c r="D77" s="8" t="s">
        <v>23</v>
      </c>
      <c r="E77" s="4" t="s">
        <v>464</v>
      </c>
      <c r="F77" s="4" t="s">
        <v>25</v>
      </c>
      <c r="G77" s="5">
        <v>24500</v>
      </c>
      <c r="H77" s="5" t="s">
        <v>26</v>
      </c>
      <c r="I77" s="5" t="s">
        <v>209</v>
      </c>
      <c r="J77" s="8" t="s">
        <v>513</v>
      </c>
      <c r="K77" s="8" t="s">
        <v>514</v>
      </c>
      <c r="L77" s="8" t="s">
        <v>210</v>
      </c>
      <c r="M77" s="8" t="s">
        <v>147</v>
      </c>
      <c r="N77" s="8" t="str">
        <f>IF(ISBLANK(Table13[[#This Row],[Dealer_Name]]), "UNKNOWN", Table13[[#This Row],[Dealer_Name]])</f>
        <v>Metro Honda</v>
      </c>
      <c r="O77" s="8" t="s">
        <v>52</v>
      </c>
      <c r="P77" s="8" t="s">
        <v>31</v>
      </c>
      <c r="Q77" s="10" t="s">
        <v>53</v>
      </c>
      <c r="R77" s="13" t="str">
        <f>IF(ISBLANK(Table13[[#This Row],[Engine_Size]]), "UNKNOWN",Table13[[#This Row],[Engine_Size]])</f>
        <v>1.5L</v>
      </c>
      <c r="S77" s="4" t="s">
        <v>61</v>
      </c>
      <c r="T77" s="8" t="str">
        <f>IF(ISBLANK(Table13[[#This Row],[Color]]), "UNKNOWN", Table13[[#This Row],[Color]])</f>
        <v>Blue</v>
      </c>
      <c r="U77" s="13">
        <v>15000</v>
      </c>
      <c r="V77" s="4">
        <v>2021</v>
      </c>
      <c r="W77" s="4">
        <v>202401</v>
      </c>
      <c r="X77" s="15">
        <f t="shared" si="1"/>
        <v>45322</v>
      </c>
      <c r="Y77" s="4" t="s">
        <v>34</v>
      </c>
      <c r="Z77" s="4" t="s">
        <v>35</v>
      </c>
    </row>
    <row r="78" spans="1:26" x14ac:dyDescent="0.2">
      <c r="A78" s="4" t="s">
        <v>329</v>
      </c>
      <c r="B78" s="8" t="s">
        <v>212</v>
      </c>
      <c r="C78" s="8" t="s">
        <v>304</v>
      </c>
      <c r="D78" s="8" t="s">
        <v>262</v>
      </c>
      <c r="E78" s="4" t="s">
        <v>305</v>
      </c>
      <c r="F78" s="4" t="s">
        <v>25</v>
      </c>
      <c r="G78" s="5">
        <v>115900</v>
      </c>
      <c r="H78" s="5" t="s">
        <v>264</v>
      </c>
      <c r="I78" s="5" t="s">
        <v>306</v>
      </c>
      <c r="J78" s="8" t="s">
        <v>537</v>
      </c>
      <c r="K78" s="8" t="s">
        <v>519</v>
      </c>
      <c r="L78" s="8" t="s">
        <v>307</v>
      </c>
      <c r="M78" s="8" t="s">
        <v>183</v>
      </c>
      <c r="N78" s="8" t="str">
        <f>IF(ISBLANK(Table13[[#This Row],[Dealer_Name]]), "UNKNOWN", Table13[[#This Row],[Dealer_Name]])</f>
        <v>Nissan Direct</v>
      </c>
      <c r="O78" s="8" t="s">
        <v>85</v>
      </c>
      <c r="P78" s="8" t="s">
        <v>31</v>
      </c>
      <c r="Q78" s="10" t="s">
        <v>128</v>
      </c>
      <c r="R78" s="13" t="str">
        <f>IF(ISBLANK(Table13[[#This Row],[Engine_Size]]), "UNKNOWN",Table13[[#This Row],[Engine_Size]])</f>
        <v>3.8L</v>
      </c>
      <c r="S78" s="4" t="s">
        <v>46</v>
      </c>
      <c r="T78" s="8" t="str">
        <f>IF(ISBLANK(Table13[[#This Row],[Color]]), "UNKNOWN", Table13[[#This Row],[Color]])</f>
        <v>Black</v>
      </c>
      <c r="U78" s="13">
        <v>2500</v>
      </c>
      <c r="V78" s="4">
        <v>2024</v>
      </c>
      <c r="W78" s="4">
        <v>202412</v>
      </c>
      <c r="X78" s="15">
        <f t="shared" si="1"/>
        <v>45657</v>
      </c>
      <c r="Y78" s="4" t="s">
        <v>197</v>
      </c>
      <c r="Z78" s="4" t="s">
        <v>158</v>
      </c>
    </row>
    <row r="79" spans="1:26" x14ac:dyDescent="0.2">
      <c r="A79" s="4" t="s">
        <v>330</v>
      </c>
      <c r="B79" s="8" t="s">
        <v>273</v>
      </c>
      <c r="C79" s="8" t="s">
        <v>288</v>
      </c>
      <c r="D79" s="8" t="s">
        <v>23</v>
      </c>
      <c r="E79" s="4" t="s">
        <v>73</v>
      </c>
      <c r="F79" s="4" t="s">
        <v>25</v>
      </c>
      <c r="G79" s="5">
        <v>26900</v>
      </c>
      <c r="H79" s="5" t="s">
        <v>41</v>
      </c>
      <c r="I79" s="5" t="s">
        <v>289</v>
      </c>
      <c r="J79" s="8" t="s">
        <v>533</v>
      </c>
      <c r="K79" s="8" t="s">
        <v>33</v>
      </c>
      <c r="L79" s="8" t="s">
        <v>290</v>
      </c>
      <c r="M79" s="8" t="s">
        <v>99</v>
      </c>
      <c r="N79" s="8" t="str">
        <f>IF(ISBLANK(Table13[[#This Row],[Dealer_Name]]), "UNKNOWN", Table13[[#This Row],[Dealer_Name]])</f>
        <v>Chevy World</v>
      </c>
      <c r="O79" s="8" t="s">
        <v>68</v>
      </c>
      <c r="P79" s="8" t="s">
        <v>166</v>
      </c>
      <c r="R79" s="14" t="str">
        <f>IF(ISBLANK(Table13[[#This Row],[Engine_Size]]), "UNKNOWN",Table13[[#This Row],[Engine_Size]])</f>
        <v>UNKNOWN</v>
      </c>
      <c r="S79" s="4" t="s">
        <v>70</v>
      </c>
      <c r="T79" s="8" t="str">
        <f>IF(ISBLANK(Table13[[#This Row],[Color]]), "UNKNOWN", Table13[[#This Row],[Color]])</f>
        <v>Red</v>
      </c>
      <c r="U79" s="13">
        <v>8000</v>
      </c>
      <c r="V79" s="4">
        <v>2023</v>
      </c>
      <c r="W79" s="4">
        <v>202410</v>
      </c>
      <c r="X79" s="15">
        <f t="shared" si="1"/>
        <v>45596</v>
      </c>
      <c r="Y79" s="4" t="s">
        <v>157</v>
      </c>
      <c r="Z79" s="4" t="s">
        <v>158</v>
      </c>
    </row>
    <row r="80" spans="1:26" x14ac:dyDescent="0.2">
      <c r="A80" s="4" t="s">
        <v>331</v>
      </c>
      <c r="B80" s="8" t="s">
        <v>244</v>
      </c>
      <c r="C80" s="8" t="s">
        <v>300</v>
      </c>
      <c r="D80" s="8" t="s">
        <v>23</v>
      </c>
      <c r="E80" s="4" t="s">
        <v>73</v>
      </c>
      <c r="F80" s="4" t="s">
        <v>485</v>
      </c>
      <c r="G80" s="5">
        <v>69900</v>
      </c>
      <c r="H80" s="5" t="s">
        <v>229</v>
      </c>
      <c r="I80" s="5" t="s">
        <v>301</v>
      </c>
      <c r="J80" s="8" t="s">
        <v>536</v>
      </c>
      <c r="K80" s="8" t="s">
        <v>479</v>
      </c>
      <c r="L80" s="8" t="s">
        <v>302</v>
      </c>
      <c r="M80" s="8" t="s">
        <v>248</v>
      </c>
      <c r="N80" s="8" t="str">
        <f>IF(ISBLANK(Table13[[#This Row],[Dealer_Name]]), "UNKNOWN", Table13[[#This Row],[Dealer_Name]])</f>
        <v>BMW Elite</v>
      </c>
      <c r="O80" s="8" t="s">
        <v>52</v>
      </c>
      <c r="P80" s="8" t="s">
        <v>31</v>
      </c>
      <c r="Q80" s="10" t="s">
        <v>190</v>
      </c>
      <c r="R80" s="13" t="str">
        <f>IF(ISBLANK(Table13[[#This Row],[Engine_Size]]), "UNKNOWN",Table13[[#This Row],[Engine_Size]])</f>
        <v>3.0L</v>
      </c>
      <c r="S80" s="4" t="s">
        <v>33</v>
      </c>
      <c r="T80" s="8" t="str">
        <f>IF(ISBLANK(Table13[[#This Row],[Color]]), "UNKNOWN", Table13[[#This Row],[Color]])</f>
        <v>White</v>
      </c>
      <c r="U80" s="13">
        <v>6000</v>
      </c>
      <c r="V80" s="4">
        <v>2023</v>
      </c>
      <c r="W80" s="4">
        <v>202412</v>
      </c>
      <c r="X80" s="15">
        <f t="shared" si="1"/>
        <v>45657</v>
      </c>
      <c r="Y80" s="4" t="s">
        <v>197</v>
      </c>
      <c r="Z80" s="4" t="s">
        <v>158</v>
      </c>
    </row>
    <row r="81" spans="1:26" x14ac:dyDescent="0.2">
      <c r="A81" s="4" t="s">
        <v>332</v>
      </c>
      <c r="B81" s="8" t="s">
        <v>244</v>
      </c>
      <c r="C81" s="8" t="s">
        <v>261</v>
      </c>
      <c r="D81" s="8" t="s">
        <v>262</v>
      </c>
      <c r="E81" s="4" t="s">
        <v>263</v>
      </c>
      <c r="F81" s="4" t="s">
        <v>485</v>
      </c>
      <c r="G81" s="5">
        <v>99900</v>
      </c>
      <c r="H81" s="5" t="s">
        <v>264</v>
      </c>
      <c r="I81" s="5" t="s">
        <v>265</v>
      </c>
      <c r="J81" s="8" t="s">
        <v>528</v>
      </c>
      <c r="K81" s="8" t="s">
        <v>477</v>
      </c>
      <c r="L81" s="8" t="s">
        <v>266</v>
      </c>
      <c r="M81" s="8" t="s">
        <v>248</v>
      </c>
      <c r="N81" s="8" t="str">
        <f>IF(ISBLANK(Table13[[#This Row],[Dealer_Name]]), "UNKNOWN", Table13[[#This Row],[Dealer_Name]])</f>
        <v>BMW Elite</v>
      </c>
      <c r="O81" s="8" t="s">
        <v>52</v>
      </c>
      <c r="P81" s="8" t="s">
        <v>31</v>
      </c>
      <c r="Q81" s="10" t="s">
        <v>190</v>
      </c>
      <c r="R81" s="13" t="str">
        <f>IF(ISBLANK(Table13[[#This Row],[Engine_Size]]), "UNKNOWN",Table13[[#This Row],[Engine_Size]])</f>
        <v>3.0L</v>
      </c>
      <c r="S81" s="4" t="s">
        <v>61</v>
      </c>
      <c r="T81" s="8" t="str">
        <f>IF(ISBLANK(Table13[[#This Row],[Color]]), "UNKNOWN", Table13[[#This Row],[Color]])</f>
        <v>Blue</v>
      </c>
      <c r="U81" s="13">
        <v>18000</v>
      </c>
      <c r="V81" s="4">
        <v>2022</v>
      </c>
      <c r="W81" s="4">
        <v>202407</v>
      </c>
      <c r="X81" s="15">
        <f t="shared" si="1"/>
        <v>45504</v>
      </c>
      <c r="Y81" s="4" t="s">
        <v>78</v>
      </c>
      <c r="Z81" s="4" t="s">
        <v>79</v>
      </c>
    </row>
    <row r="82" spans="1:26" x14ac:dyDescent="0.2">
      <c r="A82" s="4" t="s">
        <v>333</v>
      </c>
      <c r="B82" s="8" t="s">
        <v>255</v>
      </c>
      <c r="C82" s="8" t="s">
        <v>256</v>
      </c>
      <c r="D82" s="8" t="s">
        <v>90</v>
      </c>
      <c r="E82" s="4" t="s">
        <v>91</v>
      </c>
      <c r="F82" s="4" t="s">
        <v>25</v>
      </c>
      <c r="G82" s="5">
        <v>38900</v>
      </c>
      <c r="H82" s="5" t="s">
        <v>41</v>
      </c>
      <c r="I82" s="5" t="s">
        <v>257</v>
      </c>
      <c r="J82" s="8" t="s">
        <v>527</v>
      </c>
      <c r="K82" s="8" t="s">
        <v>33</v>
      </c>
      <c r="L82" s="8" t="s">
        <v>258</v>
      </c>
      <c r="M82" s="8" t="s">
        <v>67</v>
      </c>
      <c r="N82" s="8" t="str">
        <f>IF(ISBLANK(Table13[[#This Row],[Dealer_Name]]), "UNKNOWN", Table13[[#This Row],[Dealer_Name]])</f>
        <v>Ford Country</v>
      </c>
      <c r="O82" s="8" t="s">
        <v>68</v>
      </c>
      <c r="P82" s="8" t="s">
        <v>31</v>
      </c>
      <c r="Q82" s="10" t="s">
        <v>259</v>
      </c>
      <c r="R82" s="13" t="str">
        <f>IF(ISBLANK(Table13[[#This Row],[Engine_Size]]), "UNKNOWN",Table13[[#This Row],[Engine_Size]])</f>
        <v>2.3L</v>
      </c>
      <c r="S82" s="4" t="s">
        <v>143</v>
      </c>
      <c r="T82" s="8" t="str">
        <f>IF(ISBLANK(Table13[[#This Row],[Color]]), "UNKNOWN", Table13[[#This Row],[Color]])</f>
        <v>Green</v>
      </c>
      <c r="U82" s="13">
        <v>9000</v>
      </c>
      <c r="V82" s="4">
        <v>2023</v>
      </c>
      <c r="W82" s="4">
        <v>202407</v>
      </c>
      <c r="X82" s="15">
        <f t="shared" si="1"/>
        <v>45504</v>
      </c>
      <c r="Y82" s="4" t="s">
        <v>78</v>
      </c>
      <c r="Z82" s="4" t="s">
        <v>79</v>
      </c>
    </row>
    <row r="83" spans="1:26" x14ac:dyDescent="0.2">
      <c r="A83" s="4" t="s">
        <v>334</v>
      </c>
      <c r="B83" s="8" t="s">
        <v>212</v>
      </c>
      <c r="C83" s="8" t="s">
        <v>250</v>
      </c>
      <c r="D83" s="8" t="s">
        <v>90</v>
      </c>
      <c r="E83" s="4" t="s">
        <v>91</v>
      </c>
      <c r="F83" s="4" t="s">
        <v>25</v>
      </c>
      <c r="G83" s="5">
        <v>51200</v>
      </c>
      <c r="H83" s="5" t="s">
        <v>92</v>
      </c>
      <c r="I83" s="5" t="s">
        <v>251</v>
      </c>
      <c r="J83" s="8" t="s">
        <v>526</v>
      </c>
      <c r="K83" s="8" t="s">
        <v>496</v>
      </c>
      <c r="L83" s="8" t="s">
        <v>252</v>
      </c>
      <c r="M83" s="8" t="s">
        <v>183</v>
      </c>
      <c r="N83" s="8" t="str">
        <f>IF(ISBLANK(Table13[[#This Row],[Dealer_Name]]), "UNKNOWN", Table13[[#This Row],[Dealer_Name]])</f>
        <v>Nissan Direct</v>
      </c>
      <c r="O83" s="8" t="s">
        <v>85</v>
      </c>
      <c r="P83" s="8" t="s">
        <v>31</v>
      </c>
      <c r="Q83" s="10" t="s">
        <v>253</v>
      </c>
      <c r="R83" s="13" t="str">
        <f>IF(ISBLANK(Table13[[#This Row],[Engine_Size]]), "UNKNOWN",Table13[[#This Row],[Engine_Size]])</f>
        <v>5.6L</v>
      </c>
      <c r="S83" s="4" t="s">
        <v>61</v>
      </c>
      <c r="T83" s="8" t="str">
        <f>IF(ISBLANK(Table13[[#This Row],[Color]]), "UNKNOWN", Table13[[#This Row],[Color]])</f>
        <v>Blue</v>
      </c>
      <c r="U83" s="13">
        <v>30000</v>
      </c>
      <c r="V83" s="4">
        <v>2020</v>
      </c>
      <c r="W83" s="4">
        <v>202407</v>
      </c>
      <c r="X83" s="15">
        <f t="shared" si="1"/>
        <v>45504</v>
      </c>
      <c r="Y83" s="4" t="s">
        <v>78</v>
      </c>
      <c r="Z83" s="4" t="s">
        <v>79</v>
      </c>
    </row>
    <row r="84" spans="1:26" x14ac:dyDescent="0.2">
      <c r="A84" s="4" t="s">
        <v>335</v>
      </c>
      <c r="B84" s="8" t="s">
        <v>212</v>
      </c>
      <c r="C84" s="8" t="s">
        <v>250</v>
      </c>
      <c r="D84" s="8" t="s">
        <v>90</v>
      </c>
      <c r="E84" s="4" t="s">
        <v>91</v>
      </c>
      <c r="F84" s="4" t="s">
        <v>25</v>
      </c>
      <c r="G84" s="5">
        <v>51200</v>
      </c>
      <c r="H84" s="5" t="s">
        <v>92</v>
      </c>
      <c r="I84" s="5" t="s">
        <v>251</v>
      </c>
      <c r="J84" s="8" t="s">
        <v>526</v>
      </c>
      <c r="K84" s="8" t="s">
        <v>496</v>
      </c>
      <c r="L84" s="8" t="s">
        <v>252</v>
      </c>
      <c r="M84" s="8" t="s">
        <v>183</v>
      </c>
      <c r="N84" s="8" t="str">
        <f>IF(ISBLANK(Table13[[#This Row],[Dealer_Name]]), "UNKNOWN", Table13[[#This Row],[Dealer_Name]])</f>
        <v>Nissan Direct</v>
      </c>
      <c r="O84" s="8" t="s">
        <v>85</v>
      </c>
      <c r="P84" s="8" t="s">
        <v>31</v>
      </c>
      <c r="Q84" s="10" t="s">
        <v>253</v>
      </c>
      <c r="R84" s="13" t="str">
        <f>IF(ISBLANK(Table13[[#This Row],[Engine_Size]]), "UNKNOWN",Table13[[#This Row],[Engine_Size]])</f>
        <v>5.6L</v>
      </c>
      <c r="S84" s="4" t="s">
        <v>61</v>
      </c>
      <c r="T84" s="8" t="str">
        <f>IF(ISBLANK(Table13[[#This Row],[Color]]), "UNKNOWN", Table13[[#This Row],[Color]])</f>
        <v>Blue</v>
      </c>
      <c r="U84" s="13">
        <v>30000</v>
      </c>
      <c r="V84" s="4">
        <v>2020</v>
      </c>
      <c r="W84" s="4">
        <v>202407</v>
      </c>
      <c r="X84" s="15">
        <f t="shared" si="1"/>
        <v>45504</v>
      </c>
      <c r="Y84" s="4" t="s">
        <v>78</v>
      </c>
      <c r="Z84" s="4" t="s">
        <v>79</v>
      </c>
    </row>
    <row r="85" spans="1:26" x14ac:dyDescent="0.2">
      <c r="A85" s="4" t="s">
        <v>336</v>
      </c>
      <c r="B85" s="8" t="s">
        <v>273</v>
      </c>
      <c r="C85" s="8" t="s">
        <v>274</v>
      </c>
      <c r="D85" s="8" t="s">
        <v>90</v>
      </c>
      <c r="E85" s="4" t="s">
        <v>91</v>
      </c>
      <c r="F85" s="4" t="s">
        <v>25</v>
      </c>
      <c r="G85" s="5">
        <v>35200</v>
      </c>
      <c r="H85" s="5" t="s">
        <v>41</v>
      </c>
      <c r="I85" s="5" t="s">
        <v>275</v>
      </c>
      <c r="J85" s="8" t="s">
        <v>530</v>
      </c>
      <c r="K85" s="8" t="s">
        <v>33</v>
      </c>
      <c r="L85" s="8" t="s">
        <v>276</v>
      </c>
      <c r="M85" s="8" t="s">
        <v>99</v>
      </c>
      <c r="N85" s="8" t="str">
        <f>IF(ISBLANK(Table13[[#This Row],[Dealer_Name]]), "UNKNOWN", Table13[[#This Row],[Dealer_Name]])</f>
        <v>Chevy World</v>
      </c>
      <c r="O85" s="8" t="s">
        <v>68</v>
      </c>
      <c r="P85" s="8" t="s">
        <v>31</v>
      </c>
      <c r="Q85" s="10" t="s">
        <v>60</v>
      </c>
      <c r="R85" s="13" t="str">
        <f>IF(ISBLANK(Table13[[#This Row],[Engine_Size]]), "UNKNOWN",Table13[[#This Row],[Engine_Size]])</f>
        <v>2.5L</v>
      </c>
      <c r="S85" s="4" t="s">
        <v>46</v>
      </c>
      <c r="T85" s="8" t="str">
        <f>IF(ISBLANK(Table13[[#This Row],[Color]]), "UNKNOWN", Table13[[#This Row],[Color]])</f>
        <v>Black</v>
      </c>
      <c r="U85" s="13">
        <v>25000</v>
      </c>
      <c r="V85" s="4">
        <v>2020</v>
      </c>
      <c r="W85" s="4">
        <v>202409</v>
      </c>
      <c r="X85" s="15">
        <f t="shared" si="1"/>
        <v>45565</v>
      </c>
      <c r="Y85" s="4" t="s">
        <v>134</v>
      </c>
      <c r="Z85" s="4" t="s">
        <v>79</v>
      </c>
    </row>
    <row r="86" spans="1:26" x14ac:dyDescent="0.2">
      <c r="A86" s="4" t="s">
        <v>337</v>
      </c>
      <c r="B86" s="8" t="s">
        <v>217</v>
      </c>
      <c r="C86" s="8" t="s">
        <v>292</v>
      </c>
      <c r="D86" s="8" t="s">
        <v>23</v>
      </c>
      <c r="E86" s="4" t="s">
        <v>73</v>
      </c>
      <c r="F86" s="4" t="s">
        <v>25</v>
      </c>
      <c r="G86" s="5">
        <v>34500</v>
      </c>
      <c r="H86" s="5" t="s">
        <v>41</v>
      </c>
      <c r="I86" s="5" t="s">
        <v>293</v>
      </c>
      <c r="J86" s="8" t="s">
        <v>534</v>
      </c>
      <c r="K86" s="8" t="s">
        <v>475</v>
      </c>
      <c r="L86" s="8" t="s">
        <v>294</v>
      </c>
      <c r="M86" s="8" t="s">
        <v>138</v>
      </c>
      <c r="N86" s="8" t="str">
        <f>IF(ISBLANK(Table13[[#This Row],[Dealer_Name]]), "UNKNOWN", Table13[[#This Row],[Dealer_Name]])</f>
        <v>hyundai plus</v>
      </c>
      <c r="O86" s="8" t="s">
        <v>30</v>
      </c>
      <c r="P86" s="8" t="s">
        <v>31</v>
      </c>
      <c r="Q86" s="10" t="s">
        <v>156</v>
      </c>
      <c r="R86" s="13" t="str">
        <f>IF(ISBLANK(Table13[[#This Row],[Engine_Size]]), "UNKNOWN",Table13[[#This Row],[Engine_Size]])</f>
        <v>2.0L</v>
      </c>
      <c r="S86" s="4" t="s">
        <v>70</v>
      </c>
      <c r="T86" s="8" t="str">
        <f>IF(ISBLANK(Table13[[#This Row],[Color]]), "UNKNOWN", Table13[[#This Row],[Color]])</f>
        <v>Red</v>
      </c>
      <c r="U86" s="13">
        <v>5000</v>
      </c>
      <c r="V86" s="4">
        <v>2024</v>
      </c>
      <c r="W86" s="4">
        <v>202411</v>
      </c>
      <c r="X86" s="15">
        <f t="shared" si="1"/>
        <v>45626</v>
      </c>
      <c r="Y86" s="4" t="s">
        <v>179</v>
      </c>
      <c r="Z86" s="4" t="s">
        <v>158</v>
      </c>
    </row>
    <row r="87" spans="1:26" x14ac:dyDescent="0.2">
      <c r="A87" s="4" t="s">
        <v>338</v>
      </c>
      <c r="B87" s="8" t="s">
        <v>255</v>
      </c>
      <c r="C87" s="8" t="s">
        <v>278</v>
      </c>
      <c r="D87" s="8" t="s">
        <v>90</v>
      </c>
      <c r="E87" s="4" t="s">
        <v>91</v>
      </c>
      <c r="F87" s="4" t="s">
        <v>25</v>
      </c>
      <c r="G87" s="5">
        <v>22900</v>
      </c>
      <c r="H87" s="5" t="s">
        <v>26</v>
      </c>
      <c r="I87" s="5" t="s">
        <v>279</v>
      </c>
      <c r="J87" s="8" t="s">
        <v>531</v>
      </c>
      <c r="K87" s="8" t="s">
        <v>493</v>
      </c>
      <c r="L87" s="8" t="s">
        <v>280</v>
      </c>
      <c r="M87" s="8" t="s">
        <v>67</v>
      </c>
      <c r="N87" s="8" t="str">
        <f>IF(ISBLANK(Table13[[#This Row],[Dealer_Name]]), "UNKNOWN", Table13[[#This Row],[Dealer_Name]])</f>
        <v>Ford Country</v>
      </c>
      <c r="O87" s="8" t="s">
        <v>68</v>
      </c>
      <c r="P87" s="8" t="s">
        <v>31</v>
      </c>
      <c r="Q87" s="10" t="s">
        <v>281</v>
      </c>
      <c r="R87" s="13" t="str">
        <f>IF(ISBLANK(Table13[[#This Row],[Engine_Size]]), "UNKNOWN",Table13[[#This Row],[Engine_Size]])</f>
        <v>1.0L</v>
      </c>
      <c r="S87" s="4" t="s">
        <v>33</v>
      </c>
      <c r="T87" s="8" t="str">
        <f>IF(ISBLANK(Table13[[#This Row],[Color]]), "UNKNOWN", Table13[[#This Row],[Color]])</f>
        <v>White</v>
      </c>
      <c r="U87" s="13">
        <v>19000</v>
      </c>
      <c r="V87" s="4">
        <v>2021</v>
      </c>
      <c r="W87" s="4">
        <v>202409</v>
      </c>
      <c r="X87" s="15">
        <f t="shared" si="1"/>
        <v>45565</v>
      </c>
      <c r="Y87" s="4" t="s">
        <v>134</v>
      </c>
      <c r="Z87" s="4" t="s">
        <v>79</v>
      </c>
    </row>
    <row r="88" spans="1:26" x14ac:dyDescent="0.2">
      <c r="A88" s="4" t="s">
        <v>339</v>
      </c>
      <c r="B88" s="8" t="s">
        <v>244</v>
      </c>
      <c r="C88" s="8" t="s">
        <v>300</v>
      </c>
      <c r="D88" s="8" t="s">
        <v>23</v>
      </c>
      <c r="E88" s="4" t="s">
        <v>73</v>
      </c>
      <c r="F88" s="4" t="s">
        <v>485</v>
      </c>
      <c r="G88" s="5">
        <v>69900</v>
      </c>
      <c r="H88" s="5" t="s">
        <v>229</v>
      </c>
      <c r="I88" s="5" t="s">
        <v>301</v>
      </c>
      <c r="J88" s="8" t="s">
        <v>536</v>
      </c>
      <c r="K88" s="8" t="s">
        <v>479</v>
      </c>
      <c r="L88" s="8" t="s">
        <v>302</v>
      </c>
      <c r="M88" s="8" t="s">
        <v>248</v>
      </c>
      <c r="N88" s="8" t="str">
        <f>IF(ISBLANK(Table13[[#This Row],[Dealer_Name]]), "UNKNOWN", Table13[[#This Row],[Dealer_Name]])</f>
        <v>BMW Elite</v>
      </c>
      <c r="O88" s="8" t="s">
        <v>52</v>
      </c>
      <c r="P88" s="8" t="s">
        <v>31</v>
      </c>
      <c r="Q88" s="10" t="s">
        <v>190</v>
      </c>
      <c r="R88" s="13" t="str">
        <f>IF(ISBLANK(Table13[[#This Row],[Engine_Size]]), "UNKNOWN",Table13[[#This Row],[Engine_Size]])</f>
        <v>3.0L</v>
      </c>
      <c r="S88" s="4" t="s">
        <v>33</v>
      </c>
      <c r="T88" s="8" t="str">
        <f>IF(ISBLANK(Table13[[#This Row],[Color]]), "UNKNOWN", Table13[[#This Row],[Color]])</f>
        <v>White</v>
      </c>
      <c r="U88" s="13">
        <v>6000</v>
      </c>
      <c r="V88" s="4">
        <v>2023</v>
      </c>
      <c r="W88" s="4">
        <v>202412</v>
      </c>
      <c r="X88" s="15">
        <f t="shared" si="1"/>
        <v>45657</v>
      </c>
      <c r="Y88" s="4" t="s">
        <v>197</v>
      </c>
      <c r="Z88" s="4" t="s">
        <v>158</v>
      </c>
    </row>
    <row r="89" spans="1:26" x14ac:dyDescent="0.2">
      <c r="A89" s="4" t="s">
        <v>340</v>
      </c>
      <c r="B89" s="8" t="s">
        <v>217</v>
      </c>
      <c r="C89" s="8" t="s">
        <v>218</v>
      </c>
      <c r="D89" s="8" t="s">
        <v>23</v>
      </c>
      <c r="E89" s="4" t="s">
        <v>464</v>
      </c>
      <c r="F89" s="4" t="s">
        <v>25</v>
      </c>
      <c r="G89" s="5">
        <v>22900</v>
      </c>
      <c r="H89" s="5" t="s">
        <v>26</v>
      </c>
      <c r="I89" s="5" t="s">
        <v>219</v>
      </c>
      <c r="J89" s="8" t="s">
        <v>517</v>
      </c>
      <c r="K89" s="8" t="s">
        <v>518</v>
      </c>
      <c r="L89" s="8" t="s">
        <v>220</v>
      </c>
      <c r="M89" s="8" t="s">
        <v>44</v>
      </c>
      <c r="N89" s="8" t="str">
        <f>IF(ISBLANK(Table13[[#This Row],[Dealer_Name]]), "UNKNOWN", Table13[[#This Row],[Dealer_Name]])</f>
        <v>Hyundai Plus</v>
      </c>
      <c r="O89" s="8" t="s">
        <v>30</v>
      </c>
      <c r="P89" s="8" t="s">
        <v>31</v>
      </c>
      <c r="Q89" s="10" t="s">
        <v>156</v>
      </c>
      <c r="R89" s="13" t="str">
        <f>IF(ISBLANK(Table13[[#This Row],[Engine_Size]]), "UNKNOWN",Table13[[#This Row],[Engine_Size]])</f>
        <v>2.0L</v>
      </c>
      <c r="S89" s="4" t="s">
        <v>70</v>
      </c>
      <c r="T89" s="8" t="str">
        <f>IF(ISBLANK(Table13[[#This Row],[Color]]), "UNKNOWN", Table13[[#This Row],[Color]])</f>
        <v>Red</v>
      </c>
      <c r="U89" s="13">
        <v>12000</v>
      </c>
      <c r="V89" s="4">
        <v>2022</v>
      </c>
      <c r="W89" s="4">
        <v>202402</v>
      </c>
      <c r="X89" s="15">
        <f t="shared" si="1"/>
        <v>45351</v>
      </c>
      <c r="Y89" s="4" t="s">
        <v>47</v>
      </c>
      <c r="Z89" s="4" t="s">
        <v>35</v>
      </c>
    </row>
    <row r="90" spans="1:26" x14ac:dyDescent="0.2">
      <c r="A90" s="4" t="s">
        <v>341</v>
      </c>
      <c r="B90" s="8" t="s">
        <v>227</v>
      </c>
      <c r="C90" s="8" t="s">
        <v>228</v>
      </c>
      <c r="D90" s="8" t="s">
        <v>23</v>
      </c>
      <c r="E90" s="4" t="s">
        <v>73</v>
      </c>
      <c r="F90" s="4" t="s">
        <v>485</v>
      </c>
      <c r="G90" s="5">
        <v>89500</v>
      </c>
      <c r="H90" s="5" t="s">
        <v>229</v>
      </c>
      <c r="I90" s="5" t="s">
        <v>230</v>
      </c>
      <c r="J90" s="8" t="s">
        <v>520</v>
      </c>
      <c r="K90" s="8" t="s">
        <v>521</v>
      </c>
      <c r="L90" s="8" t="s">
        <v>231</v>
      </c>
      <c r="M90" s="8" t="s">
        <v>165</v>
      </c>
      <c r="N90" s="8" t="str">
        <f>IF(ISBLANK(Table13[[#This Row],[Dealer_Name]]), "UNKNOWN", Table13[[#This Row],[Dealer_Name]])</f>
        <v>Tesla Direct</v>
      </c>
      <c r="O90" s="8" t="s">
        <v>30</v>
      </c>
      <c r="P90" s="8" t="s">
        <v>166</v>
      </c>
      <c r="R90" s="14" t="str">
        <f>IF(ISBLANK(Table13[[#This Row],[Engine_Size]]), "UNKNOWN",Table13[[#This Row],[Engine_Size]])</f>
        <v>UNKNOWN</v>
      </c>
      <c r="S90" s="4" t="s">
        <v>70</v>
      </c>
      <c r="T90" s="8" t="str">
        <f>IF(ISBLANK(Table13[[#This Row],[Color]]), "UNKNOWN", Table13[[#This Row],[Color]])</f>
        <v>Red</v>
      </c>
      <c r="U90" s="13">
        <v>8000</v>
      </c>
      <c r="V90" s="4">
        <v>2023</v>
      </c>
      <c r="W90" s="4">
        <v>202403</v>
      </c>
      <c r="X90" s="15">
        <f t="shared" si="1"/>
        <v>45382</v>
      </c>
      <c r="Y90" s="4" t="s">
        <v>55</v>
      </c>
      <c r="Z90" s="4" t="s">
        <v>35</v>
      </c>
    </row>
    <row r="91" spans="1:26" x14ac:dyDescent="0.2">
      <c r="A91" s="4" t="s">
        <v>342</v>
      </c>
      <c r="B91" s="8" t="s">
        <v>273</v>
      </c>
      <c r="C91" s="8" t="s">
        <v>274</v>
      </c>
      <c r="D91" s="8" t="s">
        <v>90</v>
      </c>
      <c r="E91" s="4" t="s">
        <v>91</v>
      </c>
      <c r="F91" s="4" t="s">
        <v>25</v>
      </c>
      <c r="G91" s="5">
        <v>35200</v>
      </c>
      <c r="H91" s="5" t="s">
        <v>41</v>
      </c>
      <c r="I91" s="5" t="s">
        <v>275</v>
      </c>
      <c r="J91" s="8" t="s">
        <v>530</v>
      </c>
      <c r="K91" s="8" t="s">
        <v>33</v>
      </c>
      <c r="L91" s="8" t="s">
        <v>276</v>
      </c>
      <c r="M91" s="8" t="s">
        <v>99</v>
      </c>
      <c r="N91" s="8" t="str">
        <f>IF(ISBLANK(Table13[[#This Row],[Dealer_Name]]), "UNKNOWN", Table13[[#This Row],[Dealer_Name]])</f>
        <v>Chevy World</v>
      </c>
      <c r="O91" s="8" t="s">
        <v>68</v>
      </c>
      <c r="P91" s="8" t="s">
        <v>31</v>
      </c>
      <c r="Q91" s="10" t="s">
        <v>60</v>
      </c>
      <c r="R91" s="13" t="str">
        <f>IF(ISBLANK(Table13[[#This Row],[Engine_Size]]), "UNKNOWN",Table13[[#This Row],[Engine_Size]])</f>
        <v>2.5L</v>
      </c>
      <c r="S91" s="4" t="s">
        <v>46</v>
      </c>
      <c r="T91" s="8" t="str">
        <f>IF(ISBLANK(Table13[[#This Row],[Color]]), "UNKNOWN", Table13[[#This Row],[Color]])</f>
        <v>Black</v>
      </c>
      <c r="U91" s="13">
        <v>25000</v>
      </c>
      <c r="V91" s="4">
        <v>2020</v>
      </c>
      <c r="W91" s="4">
        <v>202409</v>
      </c>
      <c r="X91" s="15">
        <f t="shared" si="1"/>
        <v>45565</v>
      </c>
      <c r="Y91" s="4" t="s">
        <v>134</v>
      </c>
      <c r="Z91" s="4" t="s">
        <v>79</v>
      </c>
    </row>
    <row r="92" spans="1:26" x14ac:dyDescent="0.2">
      <c r="A92" s="4" t="s">
        <v>343</v>
      </c>
      <c r="B92" s="8" t="s">
        <v>222</v>
      </c>
      <c r="C92" s="8" t="s">
        <v>223</v>
      </c>
      <c r="D92" s="8" t="s">
        <v>90</v>
      </c>
      <c r="E92" s="4" t="s">
        <v>91</v>
      </c>
      <c r="F92" s="4" t="s">
        <v>25</v>
      </c>
      <c r="G92" s="5">
        <v>41200</v>
      </c>
      <c r="H92" s="5" t="s">
        <v>92</v>
      </c>
      <c r="I92" s="5" t="s">
        <v>236</v>
      </c>
      <c r="J92" s="8" t="s">
        <v>523</v>
      </c>
      <c r="K92" s="8" t="s">
        <v>33</v>
      </c>
      <c r="L92" s="8" t="s">
        <v>237</v>
      </c>
      <c r="M92" s="8" t="s">
        <v>84</v>
      </c>
      <c r="N92" s="8" t="str">
        <f>IF(ISBLANK(Table13[[#This Row],[Dealer_Name]]), "UNKNOWN", Table13[[#This Row],[Dealer_Name]])</f>
        <v>jeep nation</v>
      </c>
      <c r="O92" s="8" t="s">
        <v>85</v>
      </c>
      <c r="P92" s="8" t="s">
        <v>31</v>
      </c>
      <c r="Q92" s="10" t="s">
        <v>86</v>
      </c>
      <c r="R92" s="13" t="str">
        <f>IF(ISBLANK(Table13[[#This Row],[Engine_Size]]), "UNKNOWN",Table13[[#This Row],[Engine_Size]])</f>
        <v>3.6L</v>
      </c>
      <c r="S92" s="4" t="s">
        <v>46</v>
      </c>
      <c r="T92" s="8" t="str">
        <f>IF(ISBLANK(Table13[[#This Row],[Color]]), "UNKNOWN", Table13[[#This Row],[Color]])</f>
        <v>Black</v>
      </c>
      <c r="U92" s="13">
        <v>29000</v>
      </c>
      <c r="V92" s="4">
        <v>2020</v>
      </c>
      <c r="W92" s="4">
        <v>202403</v>
      </c>
      <c r="X92" s="15">
        <f t="shared" si="1"/>
        <v>45382</v>
      </c>
      <c r="Y92" s="4" t="s">
        <v>55</v>
      </c>
      <c r="Z92" s="4" t="s">
        <v>35</v>
      </c>
    </row>
    <row r="93" spans="1:26" x14ac:dyDescent="0.2">
      <c r="A93" s="4" t="s">
        <v>344</v>
      </c>
      <c r="B93" s="8" t="s">
        <v>222</v>
      </c>
      <c r="C93" s="8" t="s">
        <v>283</v>
      </c>
      <c r="D93" s="8" t="s">
        <v>90</v>
      </c>
      <c r="E93" s="4" t="s">
        <v>91</v>
      </c>
      <c r="F93" s="4" t="s">
        <v>25</v>
      </c>
      <c r="G93" s="5">
        <v>27900</v>
      </c>
      <c r="H93" s="5" t="s">
        <v>41</v>
      </c>
      <c r="I93" s="5" t="s">
        <v>284</v>
      </c>
      <c r="J93" s="8" t="s">
        <v>532</v>
      </c>
      <c r="K93" s="8" t="s">
        <v>477</v>
      </c>
      <c r="L93" s="8" t="s">
        <v>285</v>
      </c>
      <c r="M93" s="8" t="s">
        <v>142</v>
      </c>
      <c r="N93" s="8" t="str">
        <f>IF(ISBLANK(Table13[[#This Row],[Dealer_Name]]), "UNKNOWN", Table13[[#This Row],[Dealer_Name]])</f>
        <v>Jeep Nation</v>
      </c>
      <c r="O93" s="8" t="s">
        <v>85</v>
      </c>
      <c r="P93" s="8" t="s">
        <v>31</v>
      </c>
      <c r="Q93" s="10" t="s">
        <v>286</v>
      </c>
      <c r="R93" s="13" t="str">
        <f>IF(ISBLANK(Table13[[#This Row],[Engine_Size]]), "UNKNOWN",Table13[[#This Row],[Engine_Size]])</f>
        <v>1.3L</v>
      </c>
      <c r="S93" s="4" t="s">
        <v>54</v>
      </c>
      <c r="T93" s="8" t="str">
        <f>IF(ISBLANK(Table13[[#This Row],[Color]]), "UNKNOWN", Table13[[#This Row],[Color]])</f>
        <v>Silver</v>
      </c>
      <c r="U93" s="13">
        <v>13000</v>
      </c>
      <c r="V93" s="4">
        <v>2023</v>
      </c>
      <c r="W93" s="4">
        <v>202410</v>
      </c>
      <c r="X93" s="15">
        <f t="shared" si="1"/>
        <v>45596</v>
      </c>
      <c r="Y93" s="4" t="s">
        <v>157</v>
      </c>
      <c r="Z93" s="4" t="s">
        <v>158</v>
      </c>
    </row>
    <row r="94" spans="1:26" x14ac:dyDescent="0.2">
      <c r="A94" s="4" t="s">
        <v>345</v>
      </c>
      <c r="B94" s="8" t="s">
        <v>222</v>
      </c>
      <c r="C94" s="8" t="s">
        <v>223</v>
      </c>
      <c r="D94" s="8" t="s">
        <v>90</v>
      </c>
      <c r="E94" s="4" t="s">
        <v>91</v>
      </c>
      <c r="F94" s="4" t="s">
        <v>25</v>
      </c>
      <c r="G94" s="5">
        <v>41200</v>
      </c>
      <c r="H94" s="5" t="s">
        <v>92</v>
      </c>
      <c r="I94" s="5" t="s">
        <v>236</v>
      </c>
      <c r="J94" s="8" t="s">
        <v>523</v>
      </c>
      <c r="K94" s="8" t="s">
        <v>33</v>
      </c>
      <c r="L94" s="8" t="s">
        <v>237</v>
      </c>
      <c r="M94" s="8" t="s">
        <v>84</v>
      </c>
      <c r="N94" s="8" t="str">
        <f>IF(ISBLANK(Table13[[#This Row],[Dealer_Name]]), "UNKNOWN", Table13[[#This Row],[Dealer_Name]])</f>
        <v>jeep nation</v>
      </c>
      <c r="O94" s="8" t="s">
        <v>85</v>
      </c>
      <c r="P94" s="8" t="s">
        <v>31</v>
      </c>
      <c r="Q94" s="10" t="s">
        <v>86</v>
      </c>
      <c r="R94" s="13" t="str">
        <f>IF(ISBLANK(Table13[[#This Row],[Engine_Size]]), "UNKNOWN",Table13[[#This Row],[Engine_Size]])</f>
        <v>3.6L</v>
      </c>
      <c r="S94" s="4" t="s">
        <v>46</v>
      </c>
      <c r="T94" s="8" t="str">
        <f>IF(ISBLANK(Table13[[#This Row],[Color]]), "UNKNOWN", Table13[[#This Row],[Color]])</f>
        <v>Black</v>
      </c>
      <c r="U94" s="13">
        <v>29000</v>
      </c>
      <c r="V94" s="4">
        <v>2020</v>
      </c>
      <c r="W94" s="4">
        <v>202403</v>
      </c>
      <c r="X94" s="15">
        <f t="shared" si="1"/>
        <v>45382</v>
      </c>
      <c r="Y94" s="4" t="s">
        <v>55</v>
      </c>
      <c r="Z94" s="4" t="s">
        <v>35</v>
      </c>
    </row>
    <row r="95" spans="1:26" x14ac:dyDescent="0.2">
      <c r="A95" s="4" t="s">
        <v>346</v>
      </c>
      <c r="B95" s="8" t="s">
        <v>222</v>
      </c>
      <c r="C95" s="8" t="s">
        <v>268</v>
      </c>
      <c r="D95" s="8" t="s">
        <v>90</v>
      </c>
      <c r="E95" s="4" t="s">
        <v>91</v>
      </c>
      <c r="F95" s="4" t="s">
        <v>25</v>
      </c>
      <c r="G95" s="5">
        <v>22900</v>
      </c>
      <c r="H95" s="5" t="s">
        <v>26</v>
      </c>
      <c r="I95" s="5" t="s">
        <v>269</v>
      </c>
      <c r="J95" s="8" t="s">
        <v>529</v>
      </c>
      <c r="K95" s="8" t="s">
        <v>477</v>
      </c>
      <c r="L95" s="8" t="s">
        <v>270</v>
      </c>
      <c r="M95" s="8" t="s">
        <v>142</v>
      </c>
      <c r="N95" s="8" t="str">
        <f>IF(ISBLANK(Table13[[#This Row],[Dealer_Name]]), "UNKNOWN", Table13[[#This Row],[Dealer_Name]])</f>
        <v>Jeep Nation</v>
      </c>
      <c r="O95" s="8" t="s">
        <v>85</v>
      </c>
      <c r="P95" s="8" t="s">
        <v>31</v>
      </c>
      <c r="Q95" s="10" t="s">
        <v>271</v>
      </c>
      <c r="R95" s="13" t="str">
        <f>IF(ISBLANK(Table13[[#This Row],[Engine_Size]]), "UNKNOWN",Table13[[#This Row],[Engine_Size]])</f>
        <v>3.7L</v>
      </c>
      <c r="S95" s="4" t="s">
        <v>54</v>
      </c>
      <c r="T95" s="8" t="str">
        <f>IF(ISBLANK(Table13[[#This Row],[Color]]), "UNKNOWN", Table13[[#This Row],[Color]])</f>
        <v>Silver</v>
      </c>
      <c r="U95" s="13">
        <v>45000</v>
      </c>
      <c r="V95" s="4">
        <v>2016</v>
      </c>
      <c r="W95" s="4">
        <v>202408</v>
      </c>
      <c r="X95" s="15">
        <f t="shared" si="1"/>
        <v>45535</v>
      </c>
      <c r="Y95" s="4" t="s">
        <v>108</v>
      </c>
      <c r="Z95" s="4" t="s">
        <v>79</v>
      </c>
    </row>
    <row r="96" spans="1:26" x14ac:dyDescent="0.2">
      <c r="A96" s="4" t="s">
        <v>347</v>
      </c>
      <c r="B96" s="8" t="s">
        <v>222</v>
      </c>
      <c r="C96" s="8" t="s">
        <v>223</v>
      </c>
      <c r="D96" s="8" t="s">
        <v>90</v>
      </c>
      <c r="E96" s="4" t="s">
        <v>91</v>
      </c>
      <c r="F96" s="4" t="s">
        <v>25</v>
      </c>
      <c r="G96" s="5">
        <v>38900</v>
      </c>
      <c r="H96" s="5" t="s">
        <v>41</v>
      </c>
      <c r="I96" s="5" t="s">
        <v>224</v>
      </c>
      <c r="J96" s="8" t="s">
        <v>499</v>
      </c>
      <c r="K96" s="8" t="s">
        <v>519</v>
      </c>
      <c r="L96" s="8" t="s">
        <v>225</v>
      </c>
      <c r="M96" s="8" t="s">
        <v>142</v>
      </c>
      <c r="N96" s="8" t="str">
        <f>IF(ISBLANK(Table13[[#This Row],[Dealer_Name]]), "UNKNOWN", Table13[[#This Row],[Dealer_Name]])</f>
        <v>Jeep Nation</v>
      </c>
      <c r="O96" s="8" t="s">
        <v>85</v>
      </c>
      <c r="P96" s="8" t="s">
        <v>31</v>
      </c>
      <c r="Q96" s="10" t="s">
        <v>86</v>
      </c>
      <c r="R96" s="13" t="str">
        <f>IF(ISBLANK(Table13[[#This Row],[Engine_Size]]), "UNKNOWN",Table13[[#This Row],[Engine_Size]])</f>
        <v>3.6L</v>
      </c>
      <c r="S96" s="4" t="s">
        <v>101</v>
      </c>
      <c r="T96" s="8" t="str">
        <f>IF(ISBLANK(Table13[[#This Row],[Color]]), "UNKNOWN", Table13[[#This Row],[Color]])</f>
        <v>Gray</v>
      </c>
      <c r="U96" s="13">
        <v>35000</v>
      </c>
      <c r="V96" s="4">
        <v>2020</v>
      </c>
      <c r="W96" s="4">
        <v>202402</v>
      </c>
      <c r="X96" s="15">
        <f t="shared" si="1"/>
        <v>45351</v>
      </c>
      <c r="Y96" s="4" t="s">
        <v>47</v>
      </c>
      <c r="Z96" s="4" t="s">
        <v>35</v>
      </c>
    </row>
    <row r="97" spans="1:26" x14ac:dyDescent="0.2">
      <c r="A97" s="4" t="s">
        <v>348</v>
      </c>
      <c r="B97" s="8" t="s">
        <v>244</v>
      </c>
      <c r="C97" s="8" t="s">
        <v>300</v>
      </c>
      <c r="D97" s="8" t="s">
        <v>23</v>
      </c>
      <c r="E97" s="4" t="s">
        <v>73</v>
      </c>
      <c r="F97" s="4" t="s">
        <v>485</v>
      </c>
      <c r="G97" s="5">
        <v>69900</v>
      </c>
      <c r="H97" s="5" t="s">
        <v>229</v>
      </c>
      <c r="I97" s="5" t="s">
        <v>301</v>
      </c>
      <c r="J97" s="8" t="s">
        <v>536</v>
      </c>
      <c r="K97" s="8" t="s">
        <v>479</v>
      </c>
      <c r="L97" s="8" t="s">
        <v>302</v>
      </c>
      <c r="M97" s="8" t="s">
        <v>248</v>
      </c>
      <c r="N97" s="8" t="str">
        <f>IF(ISBLANK(Table13[[#This Row],[Dealer_Name]]), "UNKNOWN", Table13[[#This Row],[Dealer_Name]])</f>
        <v>BMW Elite</v>
      </c>
      <c r="O97" s="8" t="s">
        <v>52</v>
      </c>
      <c r="P97" s="8" t="s">
        <v>31</v>
      </c>
      <c r="Q97" s="10" t="s">
        <v>190</v>
      </c>
      <c r="R97" s="13" t="str">
        <f>IF(ISBLANK(Table13[[#This Row],[Engine_Size]]), "UNKNOWN",Table13[[#This Row],[Engine_Size]])</f>
        <v>3.0L</v>
      </c>
      <c r="S97" s="4" t="s">
        <v>33</v>
      </c>
      <c r="T97" s="8" t="str">
        <f>IF(ISBLANK(Table13[[#This Row],[Color]]), "UNKNOWN", Table13[[#This Row],[Color]])</f>
        <v>White</v>
      </c>
      <c r="U97" s="13">
        <v>6000</v>
      </c>
      <c r="V97" s="4">
        <v>2023</v>
      </c>
      <c r="W97" s="4">
        <v>202412</v>
      </c>
      <c r="X97" s="15">
        <f t="shared" si="1"/>
        <v>45657</v>
      </c>
      <c r="Y97" s="4" t="s">
        <v>197</v>
      </c>
      <c r="Z97" s="4" t="s">
        <v>158</v>
      </c>
    </row>
    <row r="98" spans="1:26" x14ac:dyDescent="0.2">
      <c r="A98" s="4" t="s">
        <v>349</v>
      </c>
      <c r="B98" s="8" t="s">
        <v>244</v>
      </c>
      <c r="C98" s="8" t="s">
        <v>245</v>
      </c>
      <c r="D98" s="8" t="s">
        <v>23</v>
      </c>
      <c r="E98" s="4" t="s">
        <v>73</v>
      </c>
      <c r="F98" s="4" t="s">
        <v>485</v>
      </c>
      <c r="G98" s="5">
        <v>89900</v>
      </c>
      <c r="H98" s="5" t="s">
        <v>229</v>
      </c>
      <c r="I98" s="5" t="s">
        <v>246</v>
      </c>
      <c r="J98" s="8" t="s">
        <v>525</v>
      </c>
      <c r="K98" s="8" t="s">
        <v>468</v>
      </c>
      <c r="L98" s="8" t="s">
        <v>247</v>
      </c>
      <c r="M98" s="8" t="s">
        <v>248</v>
      </c>
      <c r="N98" s="8" t="str">
        <f>IF(ISBLANK(Table13[[#This Row],[Dealer_Name]]), "UNKNOWN", Table13[[#This Row],[Dealer_Name]])</f>
        <v>BMW Elite</v>
      </c>
      <c r="O98" s="8" t="s">
        <v>52</v>
      </c>
      <c r="P98" s="8" t="s">
        <v>31</v>
      </c>
      <c r="Q98" s="10" t="s">
        <v>190</v>
      </c>
      <c r="R98" s="13" t="str">
        <f>IF(ISBLANK(Table13[[#This Row],[Engine_Size]]), "UNKNOWN",Table13[[#This Row],[Engine_Size]])</f>
        <v>3.0L</v>
      </c>
      <c r="S98" s="4" t="s">
        <v>101</v>
      </c>
      <c r="T98" s="8" t="str">
        <f>IF(ISBLANK(Table13[[#This Row],[Color]]), "UNKNOWN", Table13[[#This Row],[Color]])</f>
        <v>Gray</v>
      </c>
      <c r="U98" s="13">
        <v>26000</v>
      </c>
      <c r="V98" s="4">
        <v>2020</v>
      </c>
      <c r="W98" s="4">
        <v>202407</v>
      </c>
      <c r="X98" s="15">
        <f t="shared" si="1"/>
        <v>45504</v>
      </c>
      <c r="Y98" s="4" t="s">
        <v>78</v>
      </c>
      <c r="Z98" s="4" t="s">
        <v>79</v>
      </c>
    </row>
    <row r="99" spans="1:26" x14ac:dyDescent="0.2">
      <c r="A99" s="4" t="s">
        <v>350</v>
      </c>
      <c r="B99" s="8" t="s">
        <v>222</v>
      </c>
      <c r="C99" s="8" t="s">
        <v>268</v>
      </c>
      <c r="D99" s="8" t="s">
        <v>90</v>
      </c>
      <c r="E99" s="4" t="s">
        <v>91</v>
      </c>
      <c r="F99" s="4" t="s">
        <v>25</v>
      </c>
      <c r="G99" s="5">
        <v>22900</v>
      </c>
      <c r="H99" s="5" t="s">
        <v>26</v>
      </c>
      <c r="I99" s="5" t="s">
        <v>269</v>
      </c>
      <c r="J99" s="8" t="s">
        <v>529</v>
      </c>
      <c r="K99" s="8" t="s">
        <v>477</v>
      </c>
      <c r="L99" s="8" t="s">
        <v>270</v>
      </c>
      <c r="M99" s="8" t="s">
        <v>142</v>
      </c>
      <c r="N99" s="8" t="str">
        <f>IF(ISBLANK(Table13[[#This Row],[Dealer_Name]]), "UNKNOWN", Table13[[#This Row],[Dealer_Name]])</f>
        <v>Jeep Nation</v>
      </c>
      <c r="O99" s="8" t="s">
        <v>85</v>
      </c>
      <c r="P99" s="8" t="s">
        <v>31</v>
      </c>
      <c r="Q99" s="10" t="s">
        <v>271</v>
      </c>
      <c r="R99" s="13" t="str">
        <f>IF(ISBLANK(Table13[[#This Row],[Engine_Size]]), "UNKNOWN",Table13[[#This Row],[Engine_Size]])</f>
        <v>3.7L</v>
      </c>
      <c r="S99" s="4" t="s">
        <v>54</v>
      </c>
      <c r="T99" s="8" t="str">
        <f>IF(ISBLANK(Table13[[#This Row],[Color]]), "UNKNOWN", Table13[[#This Row],[Color]])</f>
        <v>Silver</v>
      </c>
      <c r="U99" s="13">
        <v>45000</v>
      </c>
      <c r="V99" s="4">
        <v>2016</v>
      </c>
      <c r="W99" s="4">
        <v>202408</v>
      </c>
      <c r="X99" s="15">
        <f t="shared" si="1"/>
        <v>45535</v>
      </c>
      <c r="Y99" s="4" t="s">
        <v>108</v>
      </c>
      <c r="Z99" s="4" t="s">
        <v>79</v>
      </c>
    </row>
    <row r="100" spans="1:26" x14ac:dyDescent="0.2">
      <c r="A100" s="4" t="s">
        <v>351</v>
      </c>
      <c r="B100" s="8" t="s">
        <v>212</v>
      </c>
      <c r="C100" s="8" t="s">
        <v>304</v>
      </c>
      <c r="D100" s="8" t="s">
        <v>262</v>
      </c>
      <c r="E100" s="4" t="s">
        <v>305</v>
      </c>
      <c r="F100" s="4" t="s">
        <v>25</v>
      </c>
      <c r="G100" s="5">
        <v>115900</v>
      </c>
      <c r="H100" s="5" t="s">
        <v>264</v>
      </c>
      <c r="I100" s="5" t="s">
        <v>306</v>
      </c>
      <c r="J100" s="8" t="s">
        <v>537</v>
      </c>
      <c r="K100" s="8" t="s">
        <v>519</v>
      </c>
      <c r="L100" s="8" t="s">
        <v>307</v>
      </c>
      <c r="M100" s="8" t="s">
        <v>183</v>
      </c>
      <c r="N100" s="8" t="str">
        <f>IF(ISBLANK(Table13[[#This Row],[Dealer_Name]]), "UNKNOWN", Table13[[#This Row],[Dealer_Name]])</f>
        <v>Nissan Direct</v>
      </c>
      <c r="O100" s="8" t="s">
        <v>85</v>
      </c>
      <c r="P100" s="8" t="s">
        <v>31</v>
      </c>
      <c r="Q100" s="10" t="s">
        <v>128</v>
      </c>
      <c r="R100" s="13" t="str">
        <f>IF(ISBLANK(Table13[[#This Row],[Engine_Size]]), "UNKNOWN",Table13[[#This Row],[Engine_Size]])</f>
        <v>3.8L</v>
      </c>
      <c r="S100" s="4" t="s">
        <v>46</v>
      </c>
      <c r="T100" s="8" t="str">
        <f>IF(ISBLANK(Table13[[#This Row],[Color]]), "UNKNOWN", Table13[[#This Row],[Color]])</f>
        <v>Black</v>
      </c>
      <c r="U100" s="13">
        <v>2500</v>
      </c>
      <c r="V100" s="4">
        <v>2024</v>
      </c>
      <c r="W100" s="4">
        <v>202412</v>
      </c>
      <c r="X100" s="15">
        <f t="shared" si="1"/>
        <v>45657</v>
      </c>
      <c r="Y100" s="4" t="s">
        <v>197</v>
      </c>
      <c r="Z100" s="4" t="s">
        <v>158</v>
      </c>
    </row>
    <row r="101" spans="1:26" x14ac:dyDescent="0.2">
      <c r="A101" s="4" t="s">
        <v>352</v>
      </c>
      <c r="B101" s="8" t="s">
        <v>212</v>
      </c>
      <c r="C101" s="8" t="s">
        <v>304</v>
      </c>
      <c r="D101" s="8" t="s">
        <v>262</v>
      </c>
      <c r="E101" s="4" t="s">
        <v>305</v>
      </c>
      <c r="F101" s="4" t="s">
        <v>25</v>
      </c>
      <c r="G101" s="5">
        <v>115900</v>
      </c>
      <c r="H101" s="5" t="s">
        <v>264</v>
      </c>
      <c r="I101" s="5" t="s">
        <v>306</v>
      </c>
      <c r="J101" s="8" t="s">
        <v>537</v>
      </c>
      <c r="K101" s="8" t="s">
        <v>519</v>
      </c>
      <c r="L101" s="8" t="s">
        <v>307</v>
      </c>
      <c r="M101" s="8" t="s">
        <v>183</v>
      </c>
      <c r="N101" s="8" t="str">
        <f>IF(ISBLANK(Table13[[#This Row],[Dealer_Name]]), "UNKNOWN", Table13[[#This Row],[Dealer_Name]])</f>
        <v>Nissan Direct</v>
      </c>
      <c r="O101" s="8" t="s">
        <v>85</v>
      </c>
      <c r="P101" s="8" t="s">
        <v>31</v>
      </c>
      <c r="Q101" s="10" t="s">
        <v>128</v>
      </c>
      <c r="R101" s="13" t="str">
        <f>IF(ISBLANK(Table13[[#This Row],[Engine_Size]]), "UNKNOWN",Table13[[#This Row],[Engine_Size]])</f>
        <v>3.8L</v>
      </c>
      <c r="S101" s="4" t="s">
        <v>46</v>
      </c>
      <c r="T101" s="8" t="str">
        <f>IF(ISBLANK(Table13[[#This Row],[Color]]), "UNKNOWN", Table13[[#This Row],[Color]])</f>
        <v>Black</v>
      </c>
      <c r="U101" s="13">
        <v>2500</v>
      </c>
      <c r="V101" s="4">
        <v>2024</v>
      </c>
      <c r="W101" s="4">
        <v>202412</v>
      </c>
      <c r="X101" s="15">
        <f t="shared" si="1"/>
        <v>45657</v>
      </c>
      <c r="Y101" s="4" t="s">
        <v>197</v>
      </c>
      <c r="Z101" s="4" t="s">
        <v>158</v>
      </c>
    </row>
    <row r="102" spans="1:26" x14ac:dyDescent="0.2">
      <c r="A102" s="4" t="s">
        <v>353</v>
      </c>
      <c r="B102" s="8" t="s">
        <v>222</v>
      </c>
      <c r="C102" s="8" t="s">
        <v>283</v>
      </c>
      <c r="D102" s="8" t="s">
        <v>90</v>
      </c>
      <c r="E102" s="4" t="s">
        <v>91</v>
      </c>
      <c r="F102" s="4" t="s">
        <v>25</v>
      </c>
      <c r="G102" s="5">
        <v>27900</v>
      </c>
      <c r="H102" s="5" t="s">
        <v>41</v>
      </c>
      <c r="I102" s="5" t="s">
        <v>284</v>
      </c>
      <c r="J102" s="8" t="s">
        <v>532</v>
      </c>
      <c r="K102" s="8" t="s">
        <v>477</v>
      </c>
      <c r="L102" s="8" t="s">
        <v>285</v>
      </c>
      <c r="M102" s="8" t="s">
        <v>142</v>
      </c>
      <c r="N102" s="8" t="str">
        <f>IF(ISBLANK(Table13[[#This Row],[Dealer_Name]]), "UNKNOWN", Table13[[#This Row],[Dealer_Name]])</f>
        <v>Jeep Nation</v>
      </c>
      <c r="O102" s="8" t="s">
        <v>85</v>
      </c>
      <c r="P102" s="8" t="s">
        <v>31</v>
      </c>
      <c r="Q102" s="10" t="s">
        <v>286</v>
      </c>
      <c r="R102" s="13" t="str">
        <f>IF(ISBLANK(Table13[[#This Row],[Engine_Size]]), "UNKNOWN",Table13[[#This Row],[Engine_Size]])</f>
        <v>1.3L</v>
      </c>
      <c r="S102" s="4" t="s">
        <v>54</v>
      </c>
      <c r="T102" s="8" t="str">
        <f>IF(ISBLANK(Table13[[#This Row],[Color]]), "UNKNOWN", Table13[[#This Row],[Color]])</f>
        <v>Silver</v>
      </c>
      <c r="U102" s="13">
        <v>13000</v>
      </c>
      <c r="V102" s="4">
        <v>2023</v>
      </c>
      <c r="W102" s="4">
        <v>202410</v>
      </c>
      <c r="X102" s="15">
        <f t="shared" si="1"/>
        <v>45596</v>
      </c>
      <c r="Y102" s="4" t="s">
        <v>157</v>
      </c>
      <c r="Z102" s="4" t="s">
        <v>158</v>
      </c>
    </row>
    <row r="103" spans="1:26" x14ac:dyDescent="0.2">
      <c r="A103" s="4" t="s">
        <v>354</v>
      </c>
      <c r="B103" s="8" t="s">
        <v>212</v>
      </c>
      <c r="C103" s="8" t="s">
        <v>213</v>
      </c>
      <c r="D103" s="8" t="s">
        <v>23</v>
      </c>
      <c r="E103" s="4" t="s">
        <v>73</v>
      </c>
      <c r="F103" s="4" t="s">
        <v>25</v>
      </c>
      <c r="G103" s="5">
        <v>26800</v>
      </c>
      <c r="H103" s="5" t="s">
        <v>41</v>
      </c>
      <c r="I103" s="5" t="s">
        <v>214</v>
      </c>
      <c r="J103" s="8" t="s">
        <v>515</v>
      </c>
      <c r="K103" s="8" t="s">
        <v>516</v>
      </c>
      <c r="L103" s="8" t="s">
        <v>215</v>
      </c>
      <c r="N103" s="9" t="str">
        <f>IF(ISBLANK(Table13[[#This Row],[Dealer_Name]]), "UNKNOWN", Table13[[#This Row],[Dealer_Name]])</f>
        <v>UNKNOWN</v>
      </c>
      <c r="O103" s="8" t="s">
        <v>52</v>
      </c>
      <c r="P103" s="8" t="s">
        <v>31</v>
      </c>
      <c r="Q103" s="10" t="s">
        <v>60</v>
      </c>
      <c r="R103" s="13" t="str">
        <f>IF(ISBLANK(Table13[[#This Row],[Engine_Size]]), "UNKNOWN",Table13[[#This Row],[Engine_Size]])</f>
        <v>2.5L</v>
      </c>
      <c r="S103" s="4" t="s">
        <v>54</v>
      </c>
      <c r="T103" s="8" t="str">
        <f>IF(ISBLANK(Table13[[#This Row],[Color]]), "UNKNOWN", Table13[[#This Row],[Color]])</f>
        <v>Silver</v>
      </c>
      <c r="U103" s="13">
        <v>22000</v>
      </c>
      <c r="V103" s="4">
        <v>2020</v>
      </c>
      <c r="W103" s="4">
        <v>202402</v>
      </c>
      <c r="X103" s="15">
        <f t="shared" si="1"/>
        <v>45351</v>
      </c>
      <c r="Y103" s="4" t="s">
        <v>47</v>
      </c>
      <c r="Z103" s="4" t="s">
        <v>35</v>
      </c>
    </row>
    <row r="104" spans="1:26" x14ac:dyDescent="0.2">
      <c r="A104" s="4" t="s">
        <v>355</v>
      </c>
      <c r="B104" s="8" t="s">
        <v>255</v>
      </c>
      <c r="C104" s="8" t="s">
        <v>278</v>
      </c>
      <c r="D104" s="8" t="s">
        <v>90</v>
      </c>
      <c r="E104" s="4" t="s">
        <v>91</v>
      </c>
      <c r="F104" s="4" t="s">
        <v>25</v>
      </c>
      <c r="G104" s="5">
        <v>22900</v>
      </c>
      <c r="H104" s="5" t="s">
        <v>26</v>
      </c>
      <c r="I104" s="5" t="s">
        <v>279</v>
      </c>
      <c r="J104" s="8" t="s">
        <v>531</v>
      </c>
      <c r="K104" s="8" t="s">
        <v>493</v>
      </c>
      <c r="L104" s="8" t="s">
        <v>280</v>
      </c>
      <c r="M104" s="8" t="s">
        <v>67</v>
      </c>
      <c r="N104" s="8" t="str">
        <f>IF(ISBLANK(Table13[[#This Row],[Dealer_Name]]), "UNKNOWN", Table13[[#This Row],[Dealer_Name]])</f>
        <v>Ford Country</v>
      </c>
      <c r="O104" s="8" t="s">
        <v>68</v>
      </c>
      <c r="P104" s="8" t="s">
        <v>31</v>
      </c>
      <c r="Q104" s="10" t="s">
        <v>281</v>
      </c>
      <c r="R104" s="13" t="str">
        <f>IF(ISBLANK(Table13[[#This Row],[Engine_Size]]), "UNKNOWN",Table13[[#This Row],[Engine_Size]])</f>
        <v>1.0L</v>
      </c>
      <c r="S104" s="4" t="s">
        <v>33</v>
      </c>
      <c r="T104" s="8" t="str">
        <f>IF(ISBLANK(Table13[[#This Row],[Color]]), "UNKNOWN", Table13[[#This Row],[Color]])</f>
        <v>White</v>
      </c>
      <c r="U104" s="13">
        <v>19000</v>
      </c>
      <c r="V104" s="4">
        <v>2021</v>
      </c>
      <c r="W104" s="4">
        <v>202409</v>
      </c>
      <c r="X104" s="15">
        <f t="shared" si="1"/>
        <v>45565</v>
      </c>
      <c r="Y104" s="4" t="s">
        <v>134</v>
      </c>
      <c r="Z104" s="4" t="s">
        <v>79</v>
      </c>
    </row>
    <row r="105" spans="1:26" x14ac:dyDescent="0.2">
      <c r="A105" s="4" t="s">
        <v>356</v>
      </c>
      <c r="B105" s="8" t="s">
        <v>212</v>
      </c>
      <c r="C105" s="8" t="s">
        <v>250</v>
      </c>
      <c r="D105" s="8" t="s">
        <v>90</v>
      </c>
      <c r="E105" s="4" t="s">
        <v>91</v>
      </c>
      <c r="F105" s="4" t="s">
        <v>25</v>
      </c>
      <c r="G105" s="5">
        <v>51200</v>
      </c>
      <c r="H105" s="5" t="s">
        <v>92</v>
      </c>
      <c r="I105" s="5" t="s">
        <v>251</v>
      </c>
      <c r="J105" s="8" t="s">
        <v>526</v>
      </c>
      <c r="K105" s="8" t="s">
        <v>496</v>
      </c>
      <c r="L105" s="8" t="s">
        <v>252</v>
      </c>
      <c r="M105" s="8" t="s">
        <v>183</v>
      </c>
      <c r="N105" s="8" t="str">
        <f>IF(ISBLANK(Table13[[#This Row],[Dealer_Name]]), "UNKNOWN", Table13[[#This Row],[Dealer_Name]])</f>
        <v>Nissan Direct</v>
      </c>
      <c r="O105" s="8" t="s">
        <v>85</v>
      </c>
      <c r="P105" s="8" t="s">
        <v>31</v>
      </c>
      <c r="Q105" s="10" t="s">
        <v>253</v>
      </c>
      <c r="R105" s="13" t="str">
        <f>IF(ISBLANK(Table13[[#This Row],[Engine_Size]]), "UNKNOWN",Table13[[#This Row],[Engine_Size]])</f>
        <v>5.6L</v>
      </c>
      <c r="S105" s="4" t="s">
        <v>61</v>
      </c>
      <c r="T105" s="8" t="str">
        <f>IF(ISBLANK(Table13[[#This Row],[Color]]), "UNKNOWN", Table13[[#This Row],[Color]])</f>
        <v>Blue</v>
      </c>
      <c r="U105" s="13">
        <v>30000</v>
      </c>
      <c r="V105" s="4">
        <v>2020</v>
      </c>
      <c r="W105" s="4">
        <v>202407</v>
      </c>
      <c r="X105" s="15">
        <f t="shared" si="1"/>
        <v>45504</v>
      </c>
      <c r="Y105" s="4" t="s">
        <v>78</v>
      </c>
      <c r="Z105" s="4" t="s">
        <v>79</v>
      </c>
    </row>
    <row r="106" spans="1:26" x14ac:dyDescent="0.2">
      <c r="A106" s="4" t="s">
        <v>357</v>
      </c>
      <c r="B106" s="8" t="s">
        <v>222</v>
      </c>
      <c r="C106" s="8" t="s">
        <v>223</v>
      </c>
      <c r="D106" s="8" t="s">
        <v>90</v>
      </c>
      <c r="E106" s="4" t="s">
        <v>91</v>
      </c>
      <c r="F106" s="4" t="s">
        <v>25</v>
      </c>
      <c r="G106" s="5">
        <v>41200</v>
      </c>
      <c r="H106" s="5" t="s">
        <v>92</v>
      </c>
      <c r="I106" s="5" t="s">
        <v>236</v>
      </c>
      <c r="J106" s="8" t="s">
        <v>523</v>
      </c>
      <c r="K106" s="8" t="s">
        <v>33</v>
      </c>
      <c r="L106" s="8" t="s">
        <v>237</v>
      </c>
      <c r="M106" s="8" t="s">
        <v>84</v>
      </c>
      <c r="N106" s="8" t="str">
        <f>IF(ISBLANK(Table13[[#This Row],[Dealer_Name]]), "UNKNOWN", Table13[[#This Row],[Dealer_Name]])</f>
        <v>jeep nation</v>
      </c>
      <c r="O106" s="8" t="s">
        <v>85</v>
      </c>
      <c r="P106" s="8" t="s">
        <v>31</v>
      </c>
      <c r="Q106" s="10" t="s">
        <v>86</v>
      </c>
      <c r="R106" s="13" t="str">
        <f>IF(ISBLANK(Table13[[#This Row],[Engine_Size]]), "UNKNOWN",Table13[[#This Row],[Engine_Size]])</f>
        <v>3.6L</v>
      </c>
      <c r="S106" s="4" t="s">
        <v>46</v>
      </c>
      <c r="T106" s="8" t="str">
        <f>IF(ISBLANK(Table13[[#This Row],[Color]]), "UNKNOWN", Table13[[#This Row],[Color]])</f>
        <v>Black</v>
      </c>
      <c r="U106" s="13">
        <v>29000</v>
      </c>
      <c r="V106" s="4">
        <v>2020</v>
      </c>
      <c r="W106" s="4">
        <v>202403</v>
      </c>
      <c r="X106" s="15">
        <f t="shared" si="1"/>
        <v>45382</v>
      </c>
      <c r="Y106" s="4" t="s">
        <v>55</v>
      </c>
      <c r="Z106" s="4" t="s">
        <v>35</v>
      </c>
    </row>
    <row r="107" spans="1:26" x14ac:dyDescent="0.2">
      <c r="A107" s="4" t="s">
        <v>358</v>
      </c>
      <c r="B107" s="8" t="s">
        <v>21</v>
      </c>
      <c r="C107" s="8" t="s">
        <v>37</v>
      </c>
      <c r="D107" s="8" t="s">
        <v>38</v>
      </c>
      <c r="E107" s="4" t="s">
        <v>39</v>
      </c>
      <c r="F107" s="4" t="s">
        <v>40</v>
      </c>
      <c r="G107" s="5">
        <v>27000</v>
      </c>
      <c r="H107" s="5" t="s">
        <v>41</v>
      </c>
      <c r="I107" s="5" t="s">
        <v>359</v>
      </c>
      <c r="J107" s="8" t="s">
        <v>538</v>
      </c>
      <c r="K107" s="8" t="s">
        <v>484</v>
      </c>
      <c r="L107" s="8" t="s">
        <v>360</v>
      </c>
      <c r="M107" s="8" t="s">
        <v>248</v>
      </c>
      <c r="N107" s="8" t="str">
        <f>IF(ISBLANK(Table13[[#This Row],[Dealer_Name]]), "UNKNOWN", Table13[[#This Row],[Dealer_Name]])</f>
        <v>BMW Elite</v>
      </c>
      <c r="O107" s="8" t="s">
        <v>52</v>
      </c>
      <c r="P107" s="8" t="s">
        <v>31</v>
      </c>
      <c r="Q107" s="10" t="s">
        <v>190</v>
      </c>
      <c r="R107" s="13" t="str">
        <f>IF(ISBLANK(Table13[[#This Row],[Engine_Size]]), "UNKNOWN",Table13[[#This Row],[Engine_Size]])</f>
        <v>3.0L</v>
      </c>
      <c r="S107" s="4" t="s">
        <v>101</v>
      </c>
      <c r="T107" s="8" t="str">
        <f>IF(ISBLANK(Table13[[#This Row],[Color]]), "UNKNOWN", Table13[[#This Row],[Color]])</f>
        <v>Gray</v>
      </c>
      <c r="U107" s="13">
        <v>32000</v>
      </c>
      <c r="V107" s="4">
        <v>2020</v>
      </c>
      <c r="W107" s="4">
        <v>202404</v>
      </c>
      <c r="X107" s="15">
        <f t="shared" si="1"/>
        <v>45412</v>
      </c>
      <c r="Y107" s="4" t="s">
        <v>361</v>
      </c>
      <c r="Z107" s="4" t="s">
        <v>362</v>
      </c>
    </row>
    <row r="108" spans="1:26" x14ac:dyDescent="0.2">
      <c r="A108" s="4" t="s">
        <v>363</v>
      </c>
      <c r="B108" s="8" t="s">
        <v>21</v>
      </c>
      <c r="C108" s="8" t="s">
        <v>37</v>
      </c>
      <c r="D108" s="8" t="s">
        <v>38</v>
      </c>
      <c r="E108" s="4" t="s">
        <v>39</v>
      </c>
      <c r="F108" s="4" t="s">
        <v>40</v>
      </c>
      <c r="G108" s="5">
        <v>27000</v>
      </c>
      <c r="H108" s="5" t="s">
        <v>41</v>
      </c>
      <c r="I108" s="5" t="s">
        <v>364</v>
      </c>
      <c r="J108" s="8" t="s">
        <v>539</v>
      </c>
      <c r="K108" s="8" t="s">
        <v>487</v>
      </c>
      <c r="L108" s="8" t="s">
        <v>365</v>
      </c>
      <c r="M108" s="8" t="s">
        <v>165</v>
      </c>
      <c r="N108" s="8" t="str">
        <f>IF(ISBLANK(Table13[[#This Row],[Dealer_Name]]), "UNKNOWN", Table13[[#This Row],[Dealer_Name]])</f>
        <v>Tesla Direct</v>
      </c>
      <c r="O108" s="8" t="s">
        <v>30</v>
      </c>
      <c r="P108" s="8" t="s">
        <v>166</v>
      </c>
      <c r="R108" s="14" t="str">
        <f>IF(ISBLANK(Table13[[#This Row],[Engine_Size]]), "UNKNOWN",Table13[[#This Row],[Engine_Size]])</f>
        <v>UNKNOWN</v>
      </c>
      <c r="S108" s="4" t="s">
        <v>33</v>
      </c>
      <c r="T108" s="8" t="str">
        <f>IF(ISBLANK(Table13[[#This Row],[Color]]), "UNKNOWN", Table13[[#This Row],[Color]])</f>
        <v>White</v>
      </c>
      <c r="U108" s="13">
        <v>12000</v>
      </c>
      <c r="V108" s="4">
        <v>2023</v>
      </c>
      <c r="W108" s="4">
        <v>202404</v>
      </c>
      <c r="X108" s="15">
        <f t="shared" si="1"/>
        <v>45412</v>
      </c>
      <c r="Y108" s="4" t="s">
        <v>361</v>
      </c>
      <c r="Z108" s="4" t="s">
        <v>362</v>
      </c>
    </row>
    <row r="109" spans="1:26" x14ac:dyDescent="0.2">
      <c r="A109" s="4" t="s">
        <v>366</v>
      </c>
      <c r="B109" s="8" t="s">
        <v>21</v>
      </c>
      <c r="C109" s="8" t="s">
        <v>37</v>
      </c>
      <c r="D109" s="8" t="s">
        <v>23</v>
      </c>
      <c r="E109" s="4" t="s">
        <v>73</v>
      </c>
      <c r="F109" s="4" t="s">
        <v>25</v>
      </c>
      <c r="G109" s="5">
        <v>29500</v>
      </c>
      <c r="H109" s="5" t="s">
        <v>41</v>
      </c>
      <c r="I109" s="5" t="s">
        <v>367</v>
      </c>
      <c r="J109" s="8" t="s">
        <v>540</v>
      </c>
      <c r="K109" s="8" t="s">
        <v>468</v>
      </c>
      <c r="L109" s="8" t="s">
        <v>368</v>
      </c>
      <c r="M109" s="8" t="s">
        <v>76</v>
      </c>
      <c r="N109" s="8" t="str">
        <f>IF(ISBLANK(Table13[[#This Row],[Dealer_Name]]), "UNKNOWN", Table13[[#This Row],[Dealer_Name]])</f>
        <v>toyota center</v>
      </c>
      <c r="O109" s="8" t="s">
        <v>30</v>
      </c>
      <c r="P109" s="8" t="s">
        <v>39</v>
      </c>
      <c r="Q109" s="10" t="s">
        <v>32</v>
      </c>
      <c r="R109" s="13" t="str">
        <f>IF(ISBLANK(Table13[[#This Row],[Engine_Size]]), "UNKNOWN",Table13[[#This Row],[Engine_Size]])</f>
        <v>1.8L</v>
      </c>
      <c r="S109" s="4" t="s">
        <v>61</v>
      </c>
      <c r="T109" s="8" t="str">
        <f>IF(ISBLANK(Table13[[#This Row],[Color]]), "UNKNOWN", Table13[[#This Row],[Color]])</f>
        <v>Blue</v>
      </c>
      <c r="U109" s="13">
        <v>9000</v>
      </c>
      <c r="V109" s="4">
        <v>2023</v>
      </c>
      <c r="W109" s="4">
        <v>202404</v>
      </c>
      <c r="X109" s="15">
        <f t="shared" si="1"/>
        <v>45412</v>
      </c>
      <c r="Y109" s="4" t="s">
        <v>361</v>
      </c>
      <c r="Z109" s="4" t="s">
        <v>362</v>
      </c>
    </row>
    <row r="110" spans="1:26" x14ac:dyDescent="0.2">
      <c r="A110" s="4" t="s">
        <v>369</v>
      </c>
      <c r="B110" s="8" t="s">
        <v>21</v>
      </c>
      <c r="C110" s="8" t="s">
        <v>37</v>
      </c>
      <c r="D110" s="8" t="s">
        <v>38</v>
      </c>
      <c r="E110" s="4" t="s">
        <v>39</v>
      </c>
      <c r="F110" s="4" t="s">
        <v>40</v>
      </c>
      <c r="G110" s="5">
        <v>27000</v>
      </c>
      <c r="H110" s="5" t="s">
        <v>41</v>
      </c>
      <c r="I110" s="5" t="s">
        <v>370</v>
      </c>
      <c r="J110" s="8" t="s">
        <v>541</v>
      </c>
      <c r="K110" s="8" t="s">
        <v>490</v>
      </c>
      <c r="L110" s="8" t="s">
        <v>371</v>
      </c>
      <c r="M110" s="8" t="s">
        <v>372</v>
      </c>
      <c r="N110" s="8" t="str">
        <f>IF(ISBLANK(Table13[[#This Row],[Dealer_Name]]), "UNKNOWN", Table13[[#This Row],[Dealer_Name]])</f>
        <v>chevy world</v>
      </c>
      <c r="O110" s="8" t="s">
        <v>68</v>
      </c>
      <c r="P110" s="8" t="s">
        <v>31</v>
      </c>
      <c r="Q110" s="10" t="s">
        <v>53</v>
      </c>
      <c r="R110" s="13" t="str">
        <f>IF(ISBLANK(Table13[[#This Row],[Engine_Size]]), "UNKNOWN",Table13[[#This Row],[Engine_Size]])</f>
        <v>1.5L</v>
      </c>
      <c r="S110" s="4" t="s">
        <v>33</v>
      </c>
      <c r="T110" s="8" t="str">
        <f>IF(ISBLANK(Table13[[#This Row],[Color]]), "UNKNOWN", Table13[[#This Row],[Color]])</f>
        <v>White</v>
      </c>
      <c r="U110" s="13">
        <v>20000</v>
      </c>
      <c r="V110" s="4">
        <v>2022</v>
      </c>
      <c r="W110" s="4">
        <v>202404</v>
      </c>
      <c r="X110" s="15">
        <f t="shared" si="1"/>
        <v>45412</v>
      </c>
      <c r="Y110" s="4" t="s">
        <v>361</v>
      </c>
      <c r="Z110" s="4" t="s">
        <v>362</v>
      </c>
    </row>
    <row r="111" spans="1:26" x14ac:dyDescent="0.2">
      <c r="A111" s="4" t="s">
        <v>373</v>
      </c>
      <c r="B111" s="8" t="s">
        <v>21</v>
      </c>
      <c r="C111" s="8" t="s">
        <v>37</v>
      </c>
      <c r="D111" s="8" t="s">
        <v>38</v>
      </c>
      <c r="E111" s="4" t="s">
        <v>39</v>
      </c>
      <c r="F111" s="4" t="s">
        <v>40</v>
      </c>
      <c r="G111" s="5">
        <v>27000</v>
      </c>
      <c r="H111" s="5" t="s">
        <v>41</v>
      </c>
      <c r="I111" s="5" t="s">
        <v>374</v>
      </c>
      <c r="J111" s="8" t="s">
        <v>542</v>
      </c>
      <c r="K111" s="8" t="s">
        <v>33</v>
      </c>
      <c r="L111" s="8" t="s">
        <v>237</v>
      </c>
      <c r="M111" s="8" t="s">
        <v>248</v>
      </c>
      <c r="N111" s="8" t="str">
        <f>IF(ISBLANK(Table13[[#This Row],[Dealer_Name]]), "UNKNOWN", Table13[[#This Row],[Dealer_Name]])</f>
        <v>BMW Elite</v>
      </c>
      <c r="O111" s="8" t="s">
        <v>52</v>
      </c>
      <c r="P111" s="8" t="s">
        <v>31</v>
      </c>
      <c r="Q111" s="10" t="s">
        <v>156</v>
      </c>
      <c r="R111" s="13" t="str">
        <f>IF(ISBLANK(Table13[[#This Row],[Engine_Size]]), "UNKNOWN",Table13[[#This Row],[Engine_Size]])</f>
        <v>2.0L</v>
      </c>
      <c r="S111" s="4" t="s">
        <v>46</v>
      </c>
      <c r="T111" s="8" t="str">
        <f>IF(ISBLANK(Table13[[#This Row],[Color]]), "UNKNOWN", Table13[[#This Row],[Color]])</f>
        <v>Black</v>
      </c>
      <c r="U111" s="13">
        <v>28000</v>
      </c>
      <c r="V111" s="4">
        <v>2020</v>
      </c>
      <c r="W111" s="4">
        <v>202405</v>
      </c>
      <c r="X111" s="15">
        <f t="shared" si="1"/>
        <v>45443</v>
      </c>
      <c r="Y111" s="4" t="s">
        <v>375</v>
      </c>
      <c r="Z111" s="4" t="s">
        <v>362</v>
      </c>
    </row>
    <row r="112" spans="1:26" x14ac:dyDescent="0.2">
      <c r="A112" s="4" t="s">
        <v>376</v>
      </c>
      <c r="B112" s="8" t="s">
        <v>21</v>
      </c>
      <c r="C112" s="8" t="s">
        <v>103</v>
      </c>
      <c r="D112" s="8" t="s">
        <v>90</v>
      </c>
      <c r="E112" s="4" t="s">
        <v>482</v>
      </c>
      <c r="F112" s="4" t="s">
        <v>25</v>
      </c>
      <c r="G112" s="5">
        <v>35800</v>
      </c>
      <c r="H112" s="5" t="s">
        <v>41</v>
      </c>
      <c r="I112" s="5" t="s">
        <v>377</v>
      </c>
      <c r="J112" s="8" t="s">
        <v>543</v>
      </c>
      <c r="K112" s="8" t="s">
        <v>484</v>
      </c>
      <c r="L112" s="8" t="s">
        <v>378</v>
      </c>
      <c r="M112" s="8" t="s">
        <v>29</v>
      </c>
      <c r="N112" s="8" t="str">
        <f>IF(ISBLANK(Table13[[#This Row],[Dealer_Name]]), "UNKNOWN", Table13[[#This Row],[Dealer_Name]])</f>
        <v>Toyota Center</v>
      </c>
      <c r="O112" s="8" t="s">
        <v>30</v>
      </c>
      <c r="P112" s="8" t="s">
        <v>31</v>
      </c>
      <c r="Q112" s="10" t="s">
        <v>60</v>
      </c>
      <c r="R112" s="13" t="str">
        <f>IF(ISBLANK(Table13[[#This Row],[Engine_Size]]), "UNKNOWN",Table13[[#This Row],[Engine_Size]])</f>
        <v>2.5L</v>
      </c>
      <c r="S112" s="4" t="s">
        <v>54</v>
      </c>
      <c r="T112" s="8" t="str">
        <f>IF(ISBLANK(Table13[[#This Row],[Color]]), "UNKNOWN", Table13[[#This Row],[Color]])</f>
        <v>Silver</v>
      </c>
      <c r="U112" s="13">
        <v>11000</v>
      </c>
      <c r="V112" s="4">
        <v>2023</v>
      </c>
      <c r="W112" s="4">
        <v>202405</v>
      </c>
      <c r="X112" s="15">
        <f t="shared" si="1"/>
        <v>45443</v>
      </c>
      <c r="Y112" s="4" t="s">
        <v>375</v>
      </c>
      <c r="Z112" s="4" t="s">
        <v>362</v>
      </c>
    </row>
    <row r="113" spans="1:26" x14ac:dyDescent="0.2">
      <c r="A113" s="4" t="s">
        <v>379</v>
      </c>
      <c r="B113" s="8" t="s">
        <v>21</v>
      </c>
      <c r="C113" s="8" t="s">
        <v>37</v>
      </c>
      <c r="D113" s="8" t="s">
        <v>38</v>
      </c>
      <c r="E113" s="4" t="s">
        <v>39</v>
      </c>
      <c r="F113" s="4" t="s">
        <v>40</v>
      </c>
      <c r="G113" s="5">
        <v>27000</v>
      </c>
      <c r="H113" s="5" t="s">
        <v>41</v>
      </c>
      <c r="I113" s="5" t="s">
        <v>380</v>
      </c>
      <c r="J113" s="8" t="s">
        <v>544</v>
      </c>
      <c r="K113" s="8" t="s">
        <v>487</v>
      </c>
      <c r="L113" s="8" t="s">
        <v>381</v>
      </c>
      <c r="M113" s="8" t="s">
        <v>382</v>
      </c>
      <c r="N113" s="8" t="str">
        <f>IF(ISBLANK(Table13[[#This Row],[Dealer_Name]]), "UNKNOWN", Table13[[#This Row],[Dealer_Name]])</f>
        <v>nissan direct</v>
      </c>
      <c r="O113" s="8" t="s">
        <v>85</v>
      </c>
      <c r="P113" s="8" t="s">
        <v>31</v>
      </c>
      <c r="Q113" s="10" t="s">
        <v>60</v>
      </c>
      <c r="R113" s="13" t="str">
        <f>IF(ISBLANK(Table13[[#This Row],[Engine_Size]]), "UNKNOWN",Table13[[#This Row],[Engine_Size]])</f>
        <v>2.5L</v>
      </c>
      <c r="S113" s="4" t="s">
        <v>61</v>
      </c>
      <c r="T113" s="8" t="str">
        <f>IF(ISBLANK(Table13[[#This Row],[Color]]), "UNKNOWN", Table13[[#This Row],[Color]])</f>
        <v>Blue</v>
      </c>
      <c r="U113" s="13">
        <v>24000</v>
      </c>
      <c r="V113" s="4">
        <v>2021</v>
      </c>
      <c r="W113" s="4">
        <v>202405</v>
      </c>
      <c r="X113" s="15">
        <f t="shared" si="1"/>
        <v>45443</v>
      </c>
      <c r="Y113" s="4" t="s">
        <v>375</v>
      </c>
      <c r="Z113" s="4" t="s">
        <v>362</v>
      </c>
    </row>
    <row r="114" spans="1:26" x14ac:dyDescent="0.2">
      <c r="A114" s="4" t="s">
        <v>383</v>
      </c>
      <c r="B114" s="8" t="s">
        <v>21</v>
      </c>
      <c r="C114" s="8" t="s">
        <v>103</v>
      </c>
      <c r="D114" s="8" t="s">
        <v>90</v>
      </c>
      <c r="E114" s="4" t="s">
        <v>482</v>
      </c>
      <c r="F114" s="4" t="s">
        <v>25</v>
      </c>
      <c r="G114" s="5">
        <v>32000</v>
      </c>
      <c r="H114" s="5" t="s">
        <v>41</v>
      </c>
      <c r="I114" s="5" t="s">
        <v>384</v>
      </c>
      <c r="J114" s="8" t="s">
        <v>478</v>
      </c>
      <c r="K114" s="8" t="s">
        <v>472</v>
      </c>
      <c r="L114" s="8" t="s">
        <v>385</v>
      </c>
      <c r="M114" s="8" t="s">
        <v>248</v>
      </c>
      <c r="N114" s="8" t="str">
        <f>IF(ISBLANK(Table13[[#This Row],[Dealer_Name]]), "UNKNOWN", Table13[[#This Row],[Dealer_Name]])</f>
        <v>BMW Elite</v>
      </c>
      <c r="O114" s="8" t="s">
        <v>52</v>
      </c>
      <c r="P114" s="8" t="s">
        <v>31</v>
      </c>
      <c r="Q114" s="10" t="s">
        <v>156</v>
      </c>
      <c r="R114" s="13" t="str">
        <f>IF(ISBLANK(Table13[[#This Row],[Engine_Size]]), "UNKNOWN",Table13[[#This Row],[Engine_Size]])</f>
        <v>2.0L</v>
      </c>
      <c r="S114" s="4" t="s">
        <v>54</v>
      </c>
      <c r="T114" s="8" t="str">
        <f>IF(ISBLANK(Table13[[#This Row],[Color]]), "UNKNOWN", Table13[[#This Row],[Color]])</f>
        <v>Silver</v>
      </c>
      <c r="U114" s="13">
        <v>21000</v>
      </c>
      <c r="V114" s="4">
        <v>2021</v>
      </c>
      <c r="W114" s="4">
        <v>202405</v>
      </c>
      <c r="X114" s="15">
        <f t="shared" si="1"/>
        <v>45443</v>
      </c>
      <c r="Y114" s="4" t="s">
        <v>375</v>
      </c>
      <c r="Z114" s="4" t="s">
        <v>362</v>
      </c>
    </row>
    <row r="115" spans="1:26" x14ac:dyDescent="0.2">
      <c r="A115" s="4" t="s">
        <v>386</v>
      </c>
      <c r="B115" s="8" t="s">
        <v>21</v>
      </c>
      <c r="C115" s="8" t="s">
        <v>110</v>
      </c>
      <c r="D115" s="8" t="s">
        <v>90</v>
      </c>
      <c r="E115" s="4" t="s">
        <v>91</v>
      </c>
      <c r="F115" s="4" t="s">
        <v>25</v>
      </c>
      <c r="G115" s="5">
        <v>44800</v>
      </c>
      <c r="H115" s="5" t="s">
        <v>92</v>
      </c>
      <c r="I115" s="5" t="s">
        <v>387</v>
      </c>
      <c r="J115" s="8" t="s">
        <v>545</v>
      </c>
      <c r="K115" s="8" t="s">
        <v>33</v>
      </c>
      <c r="L115" s="8" t="s">
        <v>388</v>
      </c>
      <c r="M115" s="8" t="s">
        <v>29</v>
      </c>
      <c r="N115" s="8" t="str">
        <f>IF(ISBLANK(Table13[[#This Row],[Dealer_Name]]), "UNKNOWN", Table13[[#This Row],[Dealer_Name]])</f>
        <v>Toyota Center</v>
      </c>
      <c r="O115" s="8" t="s">
        <v>30</v>
      </c>
      <c r="P115" s="8" t="s">
        <v>31</v>
      </c>
      <c r="Q115" s="10" t="s">
        <v>77</v>
      </c>
      <c r="R115" s="13" t="str">
        <f>IF(ISBLANK(Table13[[#This Row],[Engine_Size]]), "UNKNOWN",Table13[[#This Row],[Engine_Size]])</f>
        <v>3.5L</v>
      </c>
      <c r="S115" s="4" t="s">
        <v>101</v>
      </c>
      <c r="T115" s="8" t="str">
        <f>IF(ISBLANK(Table13[[#This Row],[Color]]), "UNKNOWN", Table13[[#This Row],[Color]])</f>
        <v>Gray</v>
      </c>
      <c r="U115" s="13">
        <v>18000</v>
      </c>
      <c r="V115" s="4">
        <v>2022</v>
      </c>
      <c r="W115" s="4">
        <v>202406</v>
      </c>
      <c r="X115" s="15">
        <f t="shared" si="1"/>
        <v>45473</v>
      </c>
      <c r="Y115" s="4" t="s">
        <v>389</v>
      </c>
      <c r="Z115" s="4" t="s">
        <v>362</v>
      </c>
    </row>
    <row r="116" spans="1:26" x14ac:dyDescent="0.2">
      <c r="A116" s="4" t="s">
        <v>390</v>
      </c>
      <c r="B116" s="8" t="s">
        <v>21</v>
      </c>
      <c r="C116" s="8" t="s">
        <v>110</v>
      </c>
      <c r="D116" s="8" t="s">
        <v>90</v>
      </c>
      <c r="E116" s="4" t="s">
        <v>482</v>
      </c>
      <c r="F116" s="4" t="s">
        <v>485</v>
      </c>
      <c r="G116" s="5">
        <v>43000</v>
      </c>
      <c r="H116" s="5" t="s">
        <v>92</v>
      </c>
      <c r="I116" s="5" t="s">
        <v>391</v>
      </c>
      <c r="J116" s="8" t="s">
        <v>546</v>
      </c>
      <c r="K116" s="8" t="s">
        <v>484</v>
      </c>
      <c r="L116" s="8" t="s">
        <v>392</v>
      </c>
      <c r="M116" s="8" t="s">
        <v>142</v>
      </c>
      <c r="N116" s="8" t="str">
        <f>IF(ISBLANK(Table13[[#This Row],[Dealer_Name]]), "UNKNOWN", Table13[[#This Row],[Dealer_Name]])</f>
        <v>Jeep Nation</v>
      </c>
      <c r="O116" s="8" t="s">
        <v>85</v>
      </c>
      <c r="P116" s="8" t="s">
        <v>31</v>
      </c>
      <c r="Q116" s="10" t="s">
        <v>45</v>
      </c>
      <c r="R116" s="13" t="str">
        <f>IF(ISBLANK(Table13[[#This Row],[Engine_Size]]), "UNKNOWN",Table13[[#This Row],[Engine_Size]])</f>
        <v>2.4L</v>
      </c>
      <c r="S116" s="4" t="s">
        <v>54</v>
      </c>
      <c r="T116" s="8" t="str">
        <f>IF(ISBLANK(Table13[[#This Row],[Color]]), "UNKNOWN", Table13[[#This Row],[Color]])</f>
        <v>Silver</v>
      </c>
      <c r="U116" s="13">
        <v>20000</v>
      </c>
      <c r="V116" s="4">
        <v>2021</v>
      </c>
      <c r="W116" s="4">
        <v>202406</v>
      </c>
      <c r="X116" s="15">
        <f t="shared" si="1"/>
        <v>45473</v>
      </c>
      <c r="Y116" s="4" t="s">
        <v>389</v>
      </c>
      <c r="Z116" s="4" t="s">
        <v>362</v>
      </c>
    </row>
    <row r="117" spans="1:26" x14ac:dyDescent="0.2">
      <c r="A117" s="4" t="s">
        <v>393</v>
      </c>
      <c r="B117" s="8" t="s">
        <v>21</v>
      </c>
      <c r="C117" s="8" t="s">
        <v>103</v>
      </c>
      <c r="D117" s="8" t="s">
        <v>90</v>
      </c>
      <c r="E117" s="4" t="s">
        <v>482</v>
      </c>
      <c r="F117" s="4" t="s">
        <v>25</v>
      </c>
      <c r="G117" s="5">
        <v>32000</v>
      </c>
      <c r="H117" s="5" t="s">
        <v>41</v>
      </c>
      <c r="I117" s="5" t="s">
        <v>394</v>
      </c>
      <c r="J117" s="8" t="s">
        <v>547</v>
      </c>
      <c r="K117" s="8" t="s">
        <v>468</v>
      </c>
      <c r="L117" s="8" t="s">
        <v>395</v>
      </c>
      <c r="M117" s="8" t="s">
        <v>248</v>
      </c>
      <c r="N117" s="8" t="str">
        <f>IF(ISBLANK(Table13[[#This Row],[Dealer_Name]]), "UNKNOWN", Table13[[#This Row],[Dealer_Name]])</f>
        <v>BMW Elite</v>
      </c>
      <c r="O117" s="8" t="s">
        <v>52</v>
      </c>
      <c r="P117" s="8" t="s">
        <v>31</v>
      </c>
      <c r="Q117" s="10" t="s">
        <v>156</v>
      </c>
      <c r="R117" s="13" t="str">
        <f>IF(ISBLANK(Table13[[#This Row],[Engine_Size]]), "UNKNOWN",Table13[[#This Row],[Engine_Size]])</f>
        <v>2.0L</v>
      </c>
      <c r="S117" s="4" t="s">
        <v>46</v>
      </c>
      <c r="T117" s="8" t="str">
        <f>IF(ISBLANK(Table13[[#This Row],[Color]]), "UNKNOWN", Table13[[#This Row],[Color]])</f>
        <v>Black</v>
      </c>
      <c r="U117" s="13">
        <v>15000</v>
      </c>
      <c r="V117" s="4">
        <v>2022</v>
      </c>
      <c r="W117" s="4">
        <v>202406</v>
      </c>
      <c r="X117" s="15">
        <f t="shared" si="1"/>
        <v>45473</v>
      </c>
      <c r="Y117" s="4" t="s">
        <v>389</v>
      </c>
      <c r="Z117" s="4" t="s">
        <v>362</v>
      </c>
    </row>
    <row r="118" spans="1:26" x14ac:dyDescent="0.2">
      <c r="A118" s="4" t="s">
        <v>396</v>
      </c>
      <c r="B118" s="8" t="s">
        <v>21</v>
      </c>
      <c r="C118" s="8" t="s">
        <v>397</v>
      </c>
      <c r="D118" s="8" t="s">
        <v>398</v>
      </c>
      <c r="E118" s="4" t="s">
        <v>399</v>
      </c>
      <c r="F118" s="4" t="s">
        <v>25</v>
      </c>
      <c r="G118" s="5">
        <v>33500</v>
      </c>
      <c r="H118" s="5" t="s">
        <v>41</v>
      </c>
      <c r="I118" s="5" t="s">
        <v>400</v>
      </c>
      <c r="J118" s="8" t="s">
        <v>548</v>
      </c>
      <c r="K118" s="8" t="s">
        <v>519</v>
      </c>
      <c r="L118" s="8" t="s">
        <v>401</v>
      </c>
      <c r="M118" s="8" t="s">
        <v>29</v>
      </c>
      <c r="N118" s="8" t="str">
        <f>IF(ISBLANK(Table13[[#This Row],[Dealer_Name]]), "UNKNOWN", Table13[[#This Row],[Dealer_Name]])</f>
        <v>Toyota Center</v>
      </c>
      <c r="O118" s="8" t="s">
        <v>30</v>
      </c>
      <c r="P118" s="8" t="s">
        <v>31</v>
      </c>
      <c r="Q118" s="10" t="s">
        <v>133</v>
      </c>
      <c r="R118" s="13" t="str">
        <f>IF(ISBLANK(Table13[[#This Row],[Engine_Size]]), "UNKNOWN",Table13[[#This Row],[Engine_Size]])</f>
        <v>2.7L</v>
      </c>
      <c r="S118" s="4" t="s">
        <v>101</v>
      </c>
      <c r="T118" s="8" t="str">
        <f>IF(ISBLANK(Table13[[#This Row],[Color]]), "UNKNOWN", Table13[[#This Row],[Color]])</f>
        <v>Gray</v>
      </c>
      <c r="U118" s="13">
        <v>21000</v>
      </c>
      <c r="V118" s="4">
        <v>2020</v>
      </c>
      <c r="W118" s="4">
        <v>202406</v>
      </c>
      <c r="X118" s="15">
        <f t="shared" si="1"/>
        <v>45473</v>
      </c>
      <c r="Y118" s="4" t="s">
        <v>389</v>
      </c>
      <c r="Z118" s="4" t="s">
        <v>362</v>
      </c>
    </row>
    <row r="119" spans="1:26" x14ac:dyDescent="0.2">
      <c r="A119" s="4" t="s">
        <v>402</v>
      </c>
      <c r="B119" s="8" t="s">
        <v>21</v>
      </c>
      <c r="C119" s="8" t="s">
        <v>110</v>
      </c>
      <c r="D119" s="8" t="s">
        <v>90</v>
      </c>
      <c r="E119" s="4" t="s">
        <v>482</v>
      </c>
      <c r="F119" s="4" t="s">
        <v>485</v>
      </c>
      <c r="G119" s="5">
        <v>43000</v>
      </c>
      <c r="H119" s="5" t="s">
        <v>92</v>
      </c>
      <c r="I119" s="5" t="s">
        <v>403</v>
      </c>
      <c r="J119" s="8" t="s">
        <v>549</v>
      </c>
      <c r="K119" s="8" t="s">
        <v>33</v>
      </c>
      <c r="L119" s="8" t="s">
        <v>404</v>
      </c>
      <c r="M119" s="8" t="s">
        <v>165</v>
      </c>
      <c r="N119" s="8" t="str">
        <f>IF(ISBLANK(Table13[[#This Row],[Dealer_Name]]), "UNKNOWN", Table13[[#This Row],[Dealer_Name]])</f>
        <v>Tesla Direct</v>
      </c>
      <c r="O119" s="8" t="s">
        <v>30</v>
      </c>
      <c r="P119" s="8" t="s">
        <v>166</v>
      </c>
      <c r="R119" s="14" t="str">
        <f>IF(ISBLANK(Table13[[#This Row],[Engine_Size]]), "UNKNOWN",Table13[[#This Row],[Engine_Size]])</f>
        <v>UNKNOWN</v>
      </c>
      <c r="S119" s="4" t="s">
        <v>54</v>
      </c>
      <c r="T119" s="8" t="str">
        <f>IF(ISBLANK(Table13[[#This Row],[Color]]), "UNKNOWN", Table13[[#This Row],[Color]])</f>
        <v>Silver</v>
      </c>
      <c r="U119" s="13">
        <v>1000</v>
      </c>
      <c r="V119" s="4">
        <v>2024</v>
      </c>
      <c r="W119" s="4">
        <v>202406</v>
      </c>
      <c r="X119" s="15">
        <f t="shared" si="1"/>
        <v>45473</v>
      </c>
      <c r="Y119" s="4" t="s">
        <v>389</v>
      </c>
      <c r="Z119" s="4" t="s">
        <v>362</v>
      </c>
    </row>
    <row r="120" spans="1:26" x14ac:dyDescent="0.2">
      <c r="A120" s="4" t="s">
        <v>405</v>
      </c>
      <c r="B120" s="8" t="s">
        <v>207</v>
      </c>
      <c r="C120" s="8" t="s">
        <v>406</v>
      </c>
      <c r="D120" s="8" t="s">
        <v>23</v>
      </c>
      <c r="E120" s="4" t="s">
        <v>73</v>
      </c>
      <c r="F120" s="4" t="s">
        <v>25</v>
      </c>
      <c r="G120" s="5">
        <v>29800</v>
      </c>
      <c r="H120" s="5" t="s">
        <v>41</v>
      </c>
      <c r="I120" s="5" t="s">
        <v>407</v>
      </c>
      <c r="J120" s="8" t="s">
        <v>486</v>
      </c>
      <c r="K120" s="8" t="s">
        <v>479</v>
      </c>
      <c r="L120" s="8" t="s">
        <v>408</v>
      </c>
      <c r="M120" s="8" t="s">
        <v>147</v>
      </c>
      <c r="N120" s="8" t="str">
        <f>IF(ISBLANK(Table13[[#This Row],[Dealer_Name]]), "UNKNOWN", Table13[[#This Row],[Dealer_Name]])</f>
        <v>Metro Honda</v>
      </c>
      <c r="O120" s="8" t="s">
        <v>52</v>
      </c>
      <c r="P120" s="8" t="s">
        <v>31</v>
      </c>
      <c r="Q120" s="10" t="s">
        <v>53</v>
      </c>
      <c r="R120" s="13" t="str">
        <f>IF(ISBLANK(Table13[[#This Row],[Engine_Size]]), "UNKNOWN",Table13[[#This Row],[Engine_Size]])</f>
        <v>1.5L</v>
      </c>
      <c r="S120" s="4" t="s">
        <v>46</v>
      </c>
      <c r="T120" s="8" t="str">
        <f>IF(ISBLANK(Table13[[#This Row],[Color]]), "UNKNOWN", Table13[[#This Row],[Color]])</f>
        <v>Black</v>
      </c>
      <c r="U120" s="13">
        <v>22000</v>
      </c>
      <c r="V120" s="4">
        <v>2021</v>
      </c>
      <c r="W120" s="4">
        <v>202404</v>
      </c>
      <c r="X120" s="15">
        <f t="shared" si="1"/>
        <v>45412</v>
      </c>
      <c r="Y120" s="4" t="s">
        <v>361</v>
      </c>
      <c r="Z120" s="4" t="s">
        <v>362</v>
      </c>
    </row>
    <row r="121" spans="1:26" x14ac:dyDescent="0.2">
      <c r="A121" s="4" t="s">
        <v>409</v>
      </c>
      <c r="B121" s="8" t="s">
        <v>227</v>
      </c>
      <c r="C121" s="8" t="s">
        <v>410</v>
      </c>
      <c r="D121" s="8" t="s">
        <v>90</v>
      </c>
      <c r="E121" s="4" t="s">
        <v>91</v>
      </c>
      <c r="F121" s="4" t="s">
        <v>485</v>
      </c>
      <c r="G121" s="5">
        <v>10435</v>
      </c>
      <c r="H121" s="5" t="s">
        <v>92</v>
      </c>
      <c r="I121" s="5" t="s">
        <v>411</v>
      </c>
      <c r="J121" s="8" t="s">
        <v>550</v>
      </c>
      <c r="K121" s="8" t="s">
        <v>475</v>
      </c>
      <c r="L121" s="8" t="s">
        <v>66</v>
      </c>
      <c r="M121" s="8" t="s">
        <v>165</v>
      </c>
      <c r="N121" s="8" t="str">
        <f>IF(ISBLANK(Table13[[#This Row],[Dealer_Name]]), "UNKNOWN", Table13[[#This Row],[Dealer_Name]])</f>
        <v>Tesla Direct</v>
      </c>
      <c r="O121" s="8" t="s">
        <v>30</v>
      </c>
      <c r="P121" s="8" t="s">
        <v>166</v>
      </c>
      <c r="R121" s="14" t="str">
        <f>IF(ISBLANK(Table13[[#This Row],[Engine_Size]]), "UNKNOWN",Table13[[#This Row],[Engine_Size]])</f>
        <v>UNKNOWN</v>
      </c>
      <c r="S121" s="4" t="s">
        <v>101</v>
      </c>
      <c r="T121" s="8" t="str">
        <f>IF(ISBLANK(Table13[[#This Row],[Color]]), "UNKNOWN", Table13[[#This Row],[Color]])</f>
        <v>Gray</v>
      </c>
      <c r="U121" s="13">
        <v>6000</v>
      </c>
      <c r="V121" s="4">
        <v>2024</v>
      </c>
      <c r="W121" s="4">
        <v>202405</v>
      </c>
      <c r="X121" s="15">
        <f t="shared" si="1"/>
        <v>45443</v>
      </c>
      <c r="Y121" s="4" t="s">
        <v>375</v>
      </c>
      <c r="Z121" s="4" t="s">
        <v>362</v>
      </c>
    </row>
    <row r="122" spans="1:26" x14ac:dyDescent="0.2">
      <c r="A122" s="4" t="s">
        <v>412</v>
      </c>
      <c r="B122" s="8" t="s">
        <v>21</v>
      </c>
      <c r="C122" s="8" t="s">
        <v>37</v>
      </c>
      <c r="D122" s="8" t="s">
        <v>38</v>
      </c>
      <c r="E122" s="4" t="s">
        <v>39</v>
      </c>
      <c r="F122" s="4" t="s">
        <v>40</v>
      </c>
      <c r="G122" s="5">
        <v>27000</v>
      </c>
      <c r="H122" s="5" t="s">
        <v>41</v>
      </c>
      <c r="I122" s="5" t="s">
        <v>359</v>
      </c>
      <c r="J122" s="8" t="s">
        <v>538</v>
      </c>
      <c r="K122" s="8" t="s">
        <v>484</v>
      </c>
      <c r="L122" s="8" t="s">
        <v>360</v>
      </c>
      <c r="M122" s="8" t="s">
        <v>248</v>
      </c>
      <c r="N122" s="8" t="str">
        <f>IF(ISBLANK(Table13[[#This Row],[Dealer_Name]]), "UNKNOWN", Table13[[#This Row],[Dealer_Name]])</f>
        <v>BMW Elite</v>
      </c>
      <c r="O122" s="8" t="s">
        <v>52</v>
      </c>
      <c r="P122" s="8" t="s">
        <v>31</v>
      </c>
      <c r="Q122" s="10" t="s">
        <v>190</v>
      </c>
      <c r="R122" s="13" t="str">
        <f>IF(ISBLANK(Table13[[#This Row],[Engine_Size]]), "UNKNOWN",Table13[[#This Row],[Engine_Size]])</f>
        <v>3.0L</v>
      </c>
      <c r="S122" s="4" t="s">
        <v>101</v>
      </c>
      <c r="T122" s="8" t="str">
        <f>IF(ISBLANK(Table13[[#This Row],[Color]]), "UNKNOWN", Table13[[#This Row],[Color]])</f>
        <v>Gray</v>
      </c>
      <c r="U122" s="13">
        <v>32000</v>
      </c>
      <c r="V122" s="4">
        <v>2020</v>
      </c>
      <c r="W122" s="4">
        <v>202404</v>
      </c>
      <c r="X122" s="15">
        <f t="shared" si="1"/>
        <v>45412</v>
      </c>
      <c r="Y122" s="4" t="s">
        <v>361</v>
      </c>
      <c r="Z122" s="4" t="s">
        <v>362</v>
      </c>
    </row>
    <row r="123" spans="1:26" x14ac:dyDescent="0.2">
      <c r="A123" s="4" t="s">
        <v>413</v>
      </c>
      <c r="B123" s="8" t="s">
        <v>21</v>
      </c>
      <c r="C123" s="8" t="s">
        <v>37</v>
      </c>
      <c r="D123" s="8" t="s">
        <v>38</v>
      </c>
      <c r="E123" s="4" t="s">
        <v>39</v>
      </c>
      <c r="F123" s="4" t="s">
        <v>40</v>
      </c>
      <c r="G123" s="5">
        <v>27000</v>
      </c>
      <c r="H123" s="5" t="s">
        <v>41</v>
      </c>
      <c r="I123" s="5" t="s">
        <v>364</v>
      </c>
      <c r="J123" s="8" t="s">
        <v>539</v>
      </c>
      <c r="K123" s="8" t="s">
        <v>487</v>
      </c>
      <c r="L123" s="8" t="s">
        <v>365</v>
      </c>
      <c r="M123" s="8" t="s">
        <v>165</v>
      </c>
      <c r="N123" s="8" t="str">
        <f>IF(ISBLANK(Table13[[#This Row],[Dealer_Name]]), "UNKNOWN", Table13[[#This Row],[Dealer_Name]])</f>
        <v>Tesla Direct</v>
      </c>
      <c r="O123" s="8" t="s">
        <v>30</v>
      </c>
      <c r="P123" s="8" t="s">
        <v>166</v>
      </c>
      <c r="R123" s="14" t="str">
        <f>IF(ISBLANK(Table13[[#This Row],[Engine_Size]]), "UNKNOWN",Table13[[#This Row],[Engine_Size]])</f>
        <v>UNKNOWN</v>
      </c>
      <c r="S123" s="4" t="s">
        <v>33</v>
      </c>
      <c r="T123" s="8" t="str">
        <f>IF(ISBLANK(Table13[[#This Row],[Color]]), "UNKNOWN", Table13[[#This Row],[Color]])</f>
        <v>White</v>
      </c>
      <c r="U123" s="13">
        <v>12000</v>
      </c>
      <c r="V123" s="4">
        <v>2023</v>
      </c>
      <c r="W123" s="4">
        <v>202404</v>
      </c>
      <c r="X123" s="15">
        <f t="shared" si="1"/>
        <v>45412</v>
      </c>
      <c r="Y123" s="4" t="s">
        <v>361</v>
      </c>
      <c r="Z123" s="4" t="s">
        <v>362</v>
      </c>
    </row>
    <row r="124" spans="1:26" x14ac:dyDescent="0.2">
      <c r="A124" s="4" t="s">
        <v>414</v>
      </c>
      <c r="B124" s="8" t="s">
        <v>21</v>
      </c>
      <c r="C124" s="8" t="s">
        <v>37</v>
      </c>
      <c r="D124" s="8" t="s">
        <v>23</v>
      </c>
      <c r="E124" s="4" t="s">
        <v>73</v>
      </c>
      <c r="F124" s="4" t="s">
        <v>25</v>
      </c>
      <c r="G124" s="5">
        <v>29500</v>
      </c>
      <c r="H124" s="5" t="s">
        <v>41</v>
      </c>
      <c r="I124" s="5" t="s">
        <v>367</v>
      </c>
      <c r="J124" s="8" t="s">
        <v>540</v>
      </c>
      <c r="K124" s="8" t="s">
        <v>468</v>
      </c>
      <c r="L124" s="8" t="s">
        <v>368</v>
      </c>
      <c r="M124" s="8" t="s">
        <v>76</v>
      </c>
      <c r="N124" s="8" t="str">
        <f>IF(ISBLANK(Table13[[#This Row],[Dealer_Name]]), "UNKNOWN", Table13[[#This Row],[Dealer_Name]])</f>
        <v>toyota center</v>
      </c>
      <c r="O124" s="8" t="s">
        <v>30</v>
      </c>
      <c r="P124" s="8" t="s">
        <v>39</v>
      </c>
      <c r="Q124" s="10" t="s">
        <v>32</v>
      </c>
      <c r="R124" s="13" t="str">
        <f>IF(ISBLANK(Table13[[#This Row],[Engine_Size]]), "UNKNOWN",Table13[[#This Row],[Engine_Size]])</f>
        <v>1.8L</v>
      </c>
      <c r="S124" s="4" t="s">
        <v>61</v>
      </c>
      <c r="T124" s="8" t="str">
        <f>IF(ISBLANK(Table13[[#This Row],[Color]]), "UNKNOWN", Table13[[#This Row],[Color]])</f>
        <v>Blue</v>
      </c>
      <c r="U124" s="13">
        <v>9000</v>
      </c>
      <c r="V124" s="4">
        <v>2023</v>
      </c>
      <c r="W124" s="4">
        <v>202404</v>
      </c>
      <c r="X124" s="15">
        <f t="shared" si="1"/>
        <v>45412</v>
      </c>
      <c r="Y124" s="4" t="s">
        <v>361</v>
      </c>
      <c r="Z124" s="4" t="s">
        <v>362</v>
      </c>
    </row>
    <row r="125" spans="1:26" x14ac:dyDescent="0.2">
      <c r="A125" s="4" t="s">
        <v>415</v>
      </c>
      <c r="B125" s="8" t="s">
        <v>21</v>
      </c>
      <c r="C125" s="8" t="s">
        <v>37</v>
      </c>
      <c r="D125" s="8" t="s">
        <v>38</v>
      </c>
      <c r="E125" s="4" t="s">
        <v>39</v>
      </c>
      <c r="F125" s="4" t="s">
        <v>40</v>
      </c>
      <c r="G125" s="5">
        <v>27000</v>
      </c>
      <c r="H125" s="5" t="s">
        <v>41</v>
      </c>
      <c r="I125" s="5" t="s">
        <v>370</v>
      </c>
      <c r="J125" s="8" t="s">
        <v>541</v>
      </c>
      <c r="K125" s="8" t="s">
        <v>490</v>
      </c>
      <c r="L125" s="8" t="s">
        <v>371</v>
      </c>
      <c r="M125" s="8" t="s">
        <v>372</v>
      </c>
      <c r="N125" s="8" t="str">
        <f>IF(ISBLANK(Table13[[#This Row],[Dealer_Name]]), "UNKNOWN", Table13[[#This Row],[Dealer_Name]])</f>
        <v>chevy world</v>
      </c>
      <c r="O125" s="8" t="s">
        <v>68</v>
      </c>
      <c r="P125" s="8" t="s">
        <v>31</v>
      </c>
      <c r="Q125" s="10" t="s">
        <v>53</v>
      </c>
      <c r="R125" s="13" t="str">
        <f>IF(ISBLANK(Table13[[#This Row],[Engine_Size]]), "UNKNOWN",Table13[[#This Row],[Engine_Size]])</f>
        <v>1.5L</v>
      </c>
      <c r="S125" s="4" t="s">
        <v>33</v>
      </c>
      <c r="T125" s="8" t="str">
        <f>IF(ISBLANK(Table13[[#This Row],[Color]]), "UNKNOWN", Table13[[#This Row],[Color]])</f>
        <v>White</v>
      </c>
      <c r="U125" s="13">
        <v>20000</v>
      </c>
      <c r="V125" s="4">
        <v>2022</v>
      </c>
      <c r="W125" s="4">
        <v>202404</v>
      </c>
      <c r="X125" s="15">
        <f t="shared" si="1"/>
        <v>45412</v>
      </c>
      <c r="Y125" s="4" t="s">
        <v>361</v>
      </c>
      <c r="Z125" s="4" t="s">
        <v>362</v>
      </c>
    </row>
    <row r="126" spans="1:26" x14ac:dyDescent="0.2">
      <c r="A126" s="4" t="s">
        <v>416</v>
      </c>
      <c r="B126" s="8" t="s">
        <v>21</v>
      </c>
      <c r="C126" s="8" t="s">
        <v>37</v>
      </c>
      <c r="D126" s="8" t="s">
        <v>38</v>
      </c>
      <c r="E126" s="4" t="s">
        <v>39</v>
      </c>
      <c r="F126" s="4" t="s">
        <v>40</v>
      </c>
      <c r="G126" s="5">
        <v>27000</v>
      </c>
      <c r="H126" s="5" t="s">
        <v>41</v>
      </c>
      <c r="I126" s="5" t="s">
        <v>374</v>
      </c>
      <c r="J126" s="8" t="s">
        <v>542</v>
      </c>
      <c r="K126" s="8" t="s">
        <v>33</v>
      </c>
      <c r="L126" s="8" t="s">
        <v>237</v>
      </c>
      <c r="M126" s="8" t="s">
        <v>248</v>
      </c>
      <c r="N126" s="8" t="str">
        <f>IF(ISBLANK(Table13[[#This Row],[Dealer_Name]]), "UNKNOWN", Table13[[#This Row],[Dealer_Name]])</f>
        <v>BMW Elite</v>
      </c>
      <c r="O126" s="8" t="s">
        <v>52</v>
      </c>
      <c r="P126" s="8" t="s">
        <v>31</v>
      </c>
      <c r="Q126" s="10" t="s">
        <v>156</v>
      </c>
      <c r="R126" s="13" t="str">
        <f>IF(ISBLANK(Table13[[#This Row],[Engine_Size]]), "UNKNOWN",Table13[[#This Row],[Engine_Size]])</f>
        <v>2.0L</v>
      </c>
      <c r="S126" s="4" t="s">
        <v>46</v>
      </c>
      <c r="T126" s="8" t="str">
        <f>IF(ISBLANK(Table13[[#This Row],[Color]]), "UNKNOWN", Table13[[#This Row],[Color]])</f>
        <v>Black</v>
      </c>
      <c r="U126" s="13">
        <v>28000</v>
      </c>
      <c r="V126" s="4">
        <v>2020</v>
      </c>
      <c r="W126" s="4">
        <v>202405</v>
      </c>
      <c r="X126" s="15">
        <f t="shared" si="1"/>
        <v>45443</v>
      </c>
      <c r="Y126" s="4" t="s">
        <v>375</v>
      </c>
      <c r="Z126" s="4" t="s">
        <v>362</v>
      </c>
    </row>
    <row r="127" spans="1:26" x14ac:dyDescent="0.2">
      <c r="A127" s="4" t="s">
        <v>417</v>
      </c>
      <c r="B127" s="8" t="s">
        <v>21</v>
      </c>
      <c r="C127" s="8" t="s">
        <v>103</v>
      </c>
      <c r="D127" s="8" t="s">
        <v>90</v>
      </c>
      <c r="E127" s="4" t="s">
        <v>482</v>
      </c>
      <c r="F127" s="4" t="s">
        <v>25</v>
      </c>
      <c r="G127" s="5">
        <v>35800</v>
      </c>
      <c r="H127" s="5" t="s">
        <v>41</v>
      </c>
      <c r="I127" s="5" t="s">
        <v>377</v>
      </c>
      <c r="J127" s="8" t="s">
        <v>543</v>
      </c>
      <c r="K127" s="8" t="s">
        <v>484</v>
      </c>
      <c r="L127" s="8" t="s">
        <v>378</v>
      </c>
      <c r="M127" s="8" t="s">
        <v>29</v>
      </c>
      <c r="N127" s="8" t="str">
        <f>IF(ISBLANK(Table13[[#This Row],[Dealer_Name]]), "UNKNOWN", Table13[[#This Row],[Dealer_Name]])</f>
        <v>Toyota Center</v>
      </c>
      <c r="O127" s="8" t="s">
        <v>30</v>
      </c>
      <c r="P127" s="8" t="s">
        <v>31</v>
      </c>
      <c r="Q127" s="10" t="s">
        <v>60</v>
      </c>
      <c r="R127" s="13" t="str">
        <f>IF(ISBLANK(Table13[[#This Row],[Engine_Size]]), "UNKNOWN",Table13[[#This Row],[Engine_Size]])</f>
        <v>2.5L</v>
      </c>
      <c r="S127" s="4" t="s">
        <v>54</v>
      </c>
      <c r="T127" s="8" t="str">
        <f>IF(ISBLANK(Table13[[#This Row],[Color]]), "UNKNOWN", Table13[[#This Row],[Color]])</f>
        <v>Silver</v>
      </c>
      <c r="U127" s="13">
        <v>11000</v>
      </c>
      <c r="V127" s="4">
        <v>2023</v>
      </c>
      <c r="W127" s="4">
        <v>202405</v>
      </c>
      <c r="X127" s="15">
        <f t="shared" si="1"/>
        <v>45443</v>
      </c>
      <c r="Y127" s="4" t="s">
        <v>375</v>
      </c>
      <c r="Z127" s="4" t="s">
        <v>362</v>
      </c>
    </row>
    <row r="128" spans="1:26" x14ac:dyDescent="0.2">
      <c r="A128" s="4" t="s">
        <v>418</v>
      </c>
      <c r="B128" s="8" t="s">
        <v>21</v>
      </c>
      <c r="C128" s="8" t="s">
        <v>37</v>
      </c>
      <c r="D128" s="8" t="s">
        <v>38</v>
      </c>
      <c r="E128" s="4" t="s">
        <v>39</v>
      </c>
      <c r="F128" s="4" t="s">
        <v>40</v>
      </c>
      <c r="G128" s="5">
        <v>27000</v>
      </c>
      <c r="H128" s="5" t="s">
        <v>41</v>
      </c>
      <c r="I128" s="5" t="s">
        <v>380</v>
      </c>
      <c r="J128" s="8" t="s">
        <v>544</v>
      </c>
      <c r="K128" s="8" t="s">
        <v>487</v>
      </c>
      <c r="L128" s="8" t="s">
        <v>381</v>
      </c>
      <c r="M128" s="8" t="s">
        <v>382</v>
      </c>
      <c r="N128" s="8" t="str">
        <f>IF(ISBLANK(Table13[[#This Row],[Dealer_Name]]), "UNKNOWN", Table13[[#This Row],[Dealer_Name]])</f>
        <v>nissan direct</v>
      </c>
      <c r="O128" s="8" t="s">
        <v>85</v>
      </c>
      <c r="P128" s="8" t="s">
        <v>31</v>
      </c>
      <c r="Q128" s="10" t="s">
        <v>60</v>
      </c>
      <c r="R128" s="13" t="str">
        <f>IF(ISBLANK(Table13[[#This Row],[Engine_Size]]), "UNKNOWN",Table13[[#This Row],[Engine_Size]])</f>
        <v>2.5L</v>
      </c>
      <c r="S128" s="4" t="s">
        <v>61</v>
      </c>
      <c r="T128" s="8" t="str">
        <f>IF(ISBLANK(Table13[[#This Row],[Color]]), "UNKNOWN", Table13[[#This Row],[Color]])</f>
        <v>Blue</v>
      </c>
      <c r="U128" s="13">
        <v>24000</v>
      </c>
      <c r="V128" s="4">
        <v>2021</v>
      </c>
      <c r="W128" s="4">
        <v>202405</v>
      </c>
      <c r="X128" s="15">
        <f t="shared" si="1"/>
        <v>45443</v>
      </c>
      <c r="Y128" s="4" t="s">
        <v>375</v>
      </c>
      <c r="Z128" s="4" t="s">
        <v>362</v>
      </c>
    </row>
    <row r="129" spans="1:26" x14ac:dyDescent="0.2">
      <c r="A129" s="4" t="s">
        <v>419</v>
      </c>
      <c r="B129" s="8" t="s">
        <v>21</v>
      </c>
      <c r="C129" s="8" t="s">
        <v>103</v>
      </c>
      <c r="D129" s="8" t="s">
        <v>90</v>
      </c>
      <c r="E129" s="4" t="s">
        <v>482</v>
      </c>
      <c r="F129" s="4" t="s">
        <v>25</v>
      </c>
      <c r="G129" s="5">
        <v>32000</v>
      </c>
      <c r="H129" s="5" t="s">
        <v>41</v>
      </c>
      <c r="I129" s="5" t="s">
        <v>384</v>
      </c>
      <c r="J129" s="8" t="s">
        <v>478</v>
      </c>
      <c r="K129" s="8" t="s">
        <v>472</v>
      </c>
      <c r="L129" s="8" t="s">
        <v>385</v>
      </c>
      <c r="M129" s="8" t="s">
        <v>248</v>
      </c>
      <c r="N129" s="8" t="str">
        <f>IF(ISBLANK(Table13[[#This Row],[Dealer_Name]]), "UNKNOWN", Table13[[#This Row],[Dealer_Name]])</f>
        <v>BMW Elite</v>
      </c>
      <c r="O129" s="8" t="s">
        <v>52</v>
      </c>
      <c r="P129" s="8" t="s">
        <v>31</v>
      </c>
      <c r="Q129" s="10" t="s">
        <v>156</v>
      </c>
      <c r="R129" s="13" t="str">
        <f>IF(ISBLANK(Table13[[#This Row],[Engine_Size]]), "UNKNOWN",Table13[[#This Row],[Engine_Size]])</f>
        <v>2.0L</v>
      </c>
      <c r="S129" s="4" t="s">
        <v>54</v>
      </c>
      <c r="T129" s="8" t="str">
        <f>IF(ISBLANK(Table13[[#This Row],[Color]]), "UNKNOWN", Table13[[#This Row],[Color]])</f>
        <v>Silver</v>
      </c>
      <c r="U129" s="13">
        <v>21000</v>
      </c>
      <c r="V129" s="4">
        <v>2021</v>
      </c>
      <c r="W129" s="4">
        <v>202405</v>
      </c>
      <c r="X129" s="15">
        <f t="shared" si="1"/>
        <v>45443</v>
      </c>
      <c r="Y129" s="4" t="s">
        <v>375</v>
      </c>
      <c r="Z129" s="4" t="s">
        <v>362</v>
      </c>
    </row>
    <row r="130" spans="1:26" x14ac:dyDescent="0.2">
      <c r="A130" s="4" t="s">
        <v>420</v>
      </c>
      <c r="B130" s="8" t="s">
        <v>21</v>
      </c>
      <c r="C130" s="8" t="s">
        <v>110</v>
      </c>
      <c r="D130" s="8" t="s">
        <v>90</v>
      </c>
      <c r="E130" s="4" t="s">
        <v>91</v>
      </c>
      <c r="F130" s="4" t="s">
        <v>25</v>
      </c>
      <c r="G130" s="5">
        <v>44800</v>
      </c>
      <c r="H130" s="5" t="s">
        <v>92</v>
      </c>
      <c r="I130" s="5" t="s">
        <v>387</v>
      </c>
      <c r="J130" s="8" t="s">
        <v>545</v>
      </c>
      <c r="K130" s="8" t="s">
        <v>33</v>
      </c>
      <c r="L130" s="8" t="s">
        <v>388</v>
      </c>
      <c r="M130" s="8" t="s">
        <v>29</v>
      </c>
      <c r="N130" s="8" t="str">
        <f>IF(ISBLANK(Table13[[#This Row],[Dealer_Name]]), "UNKNOWN", Table13[[#This Row],[Dealer_Name]])</f>
        <v>Toyota Center</v>
      </c>
      <c r="O130" s="8" t="s">
        <v>30</v>
      </c>
      <c r="P130" s="8" t="s">
        <v>31</v>
      </c>
      <c r="Q130" s="10" t="s">
        <v>77</v>
      </c>
      <c r="R130" s="13" t="str">
        <f>IF(ISBLANK(Table13[[#This Row],[Engine_Size]]), "UNKNOWN",Table13[[#This Row],[Engine_Size]])</f>
        <v>3.5L</v>
      </c>
      <c r="S130" s="4" t="s">
        <v>101</v>
      </c>
      <c r="T130" s="8" t="str">
        <f>IF(ISBLANK(Table13[[#This Row],[Color]]), "UNKNOWN", Table13[[#This Row],[Color]])</f>
        <v>Gray</v>
      </c>
      <c r="U130" s="13">
        <v>18000</v>
      </c>
      <c r="V130" s="4">
        <v>2022</v>
      </c>
      <c r="W130" s="4">
        <v>202406</v>
      </c>
      <c r="X130" s="15">
        <f t="shared" ref="X130:X151" si="2">EOMONTH(DATE(LEFT(W130,4), RIGHT(W130,2), 1), 0)</f>
        <v>45473</v>
      </c>
      <c r="Y130" s="4" t="s">
        <v>389</v>
      </c>
      <c r="Z130" s="4" t="s">
        <v>362</v>
      </c>
    </row>
    <row r="131" spans="1:26" x14ac:dyDescent="0.2">
      <c r="A131" s="4" t="s">
        <v>421</v>
      </c>
      <c r="B131" s="8" t="s">
        <v>21</v>
      </c>
      <c r="C131" s="8" t="s">
        <v>110</v>
      </c>
      <c r="D131" s="8" t="s">
        <v>90</v>
      </c>
      <c r="E131" s="4" t="s">
        <v>482</v>
      </c>
      <c r="F131" s="4" t="s">
        <v>485</v>
      </c>
      <c r="G131" s="5">
        <v>43000</v>
      </c>
      <c r="H131" s="5" t="s">
        <v>92</v>
      </c>
      <c r="I131" s="5" t="s">
        <v>391</v>
      </c>
      <c r="J131" s="8" t="s">
        <v>546</v>
      </c>
      <c r="K131" s="8" t="s">
        <v>484</v>
      </c>
      <c r="L131" s="8" t="s">
        <v>392</v>
      </c>
      <c r="M131" s="8" t="s">
        <v>142</v>
      </c>
      <c r="N131" s="8" t="str">
        <f>IF(ISBLANK(Table13[[#This Row],[Dealer_Name]]), "UNKNOWN", Table13[[#This Row],[Dealer_Name]])</f>
        <v>Jeep Nation</v>
      </c>
      <c r="O131" s="8" t="s">
        <v>85</v>
      </c>
      <c r="P131" s="8" t="s">
        <v>31</v>
      </c>
      <c r="Q131" s="10" t="s">
        <v>45</v>
      </c>
      <c r="R131" s="13" t="str">
        <f>IF(ISBLANK(Table13[[#This Row],[Engine_Size]]), "UNKNOWN",Table13[[#This Row],[Engine_Size]])</f>
        <v>2.4L</v>
      </c>
      <c r="S131" s="4" t="s">
        <v>54</v>
      </c>
      <c r="T131" s="8" t="str">
        <f>IF(ISBLANK(Table13[[#This Row],[Color]]), "UNKNOWN", Table13[[#This Row],[Color]])</f>
        <v>Silver</v>
      </c>
      <c r="U131" s="13">
        <v>20000</v>
      </c>
      <c r="V131" s="4">
        <v>2021</v>
      </c>
      <c r="W131" s="4">
        <v>202406</v>
      </c>
      <c r="X131" s="15">
        <f t="shared" si="2"/>
        <v>45473</v>
      </c>
      <c r="Y131" s="4" t="s">
        <v>389</v>
      </c>
      <c r="Z131" s="4" t="s">
        <v>362</v>
      </c>
    </row>
    <row r="132" spans="1:26" x14ac:dyDescent="0.2">
      <c r="A132" s="4" t="s">
        <v>422</v>
      </c>
      <c r="B132" s="8" t="s">
        <v>21</v>
      </c>
      <c r="C132" s="8" t="s">
        <v>103</v>
      </c>
      <c r="D132" s="8" t="s">
        <v>90</v>
      </c>
      <c r="E132" s="4" t="s">
        <v>482</v>
      </c>
      <c r="F132" s="4" t="s">
        <v>25</v>
      </c>
      <c r="G132" s="5">
        <v>32000</v>
      </c>
      <c r="H132" s="5" t="s">
        <v>41</v>
      </c>
      <c r="I132" s="5" t="s">
        <v>394</v>
      </c>
      <c r="J132" s="8" t="s">
        <v>547</v>
      </c>
      <c r="K132" s="8" t="s">
        <v>468</v>
      </c>
      <c r="L132" s="8" t="s">
        <v>395</v>
      </c>
      <c r="M132" s="8" t="s">
        <v>248</v>
      </c>
      <c r="N132" s="8" t="str">
        <f>IF(ISBLANK(Table13[[#This Row],[Dealer_Name]]), "UNKNOWN", Table13[[#This Row],[Dealer_Name]])</f>
        <v>BMW Elite</v>
      </c>
      <c r="O132" s="8" t="s">
        <v>52</v>
      </c>
      <c r="P132" s="8" t="s">
        <v>31</v>
      </c>
      <c r="Q132" s="10" t="s">
        <v>156</v>
      </c>
      <c r="R132" s="13" t="str">
        <f>IF(ISBLANK(Table13[[#This Row],[Engine_Size]]), "UNKNOWN",Table13[[#This Row],[Engine_Size]])</f>
        <v>2.0L</v>
      </c>
      <c r="S132" s="4" t="s">
        <v>46</v>
      </c>
      <c r="T132" s="8" t="str">
        <f>IF(ISBLANK(Table13[[#This Row],[Color]]), "UNKNOWN", Table13[[#This Row],[Color]])</f>
        <v>Black</v>
      </c>
      <c r="U132" s="13">
        <v>15000</v>
      </c>
      <c r="V132" s="4">
        <v>2022</v>
      </c>
      <c r="W132" s="4">
        <v>202406</v>
      </c>
      <c r="X132" s="15">
        <f t="shared" si="2"/>
        <v>45473</v>
      </c>
      <c r="Y132" s="4" t="s">
        <v>389</v>
      </c>
      <c r="Z132" s="4" t="s">
        <v>362</v>
      </c>
    </row>
    <row r="133" spans="1:26" x14ac:dyDescent="0.2">
      <c r="A133" s="4" t="s">
        <v>423</v>
      </c>
      <c r="B133" s="8" t="s">
        <v>21</v>
      </c>
      <c r="C133" s="8" t="s">
        <v>397</v>
      </c>
      <c r="D133" s="8" t="s">
        <v>398</v>
      </c>
      <c r="E133" s="4" t="s">
        <v>399</v>
      </c>
      <c r="F133" s="4" t="s">
        <v>25</v>
      </c>
      <c r="G133" s="5">
        <v>33500</v>
      </c>
      <c r="H133" s="5" t="s">
        <v>41</v>
      </c>
      <c r="I133" s="5" t="s">
        <v>400</v>
      </c>
      <c r="J133" s="8" t="s">
        <v>548</v>
      </c>
      <c r="K133" s="8" t="s">
        <v>519</v>
      </c>
      <c r="L133" s="8" t="s">
        <v>401</v>
      </c>
      <c r="M133" s="8" t="s">
        <v>29</v>
      </c>
      <c r="N133" s="8" t="str">
        <f>IF(ISBLANK(Table13[[#This Row],[Dealer_Name]]), "UNKNOWN", Table13[[#This Row],[Dealer_Name]])</f>
        <v>Toyota Center</v>
      </c>
      <c r="O133" s="8" t="s">
        <v>30</v>
      </c>
      <c r="P133" s="8" t="s">
        <v>31</v>
      </c>
      <c r="Q133" s="10" t="s">
        <v>133</v>
      </c>
      <c r="R133" s="13" t="str">
        <f>IF(ISBLANK(Table13[[#This Row],[Engine_Size]]), "UNKNOWN",Table13[[#This Row],[Engine_Size]])</f>
        <v>2.7L</v>
      </c>
      <c r="S133" s="4" t="s">
        <v>101</v>
      </c>
      <c r="T133" s="8" t="str">
        <f>IF(ISBLANK(Table13[[#This Row],[Color]]), "UNKNOWN", Table13[[#This Row],[Color]])</f>
        <v>Gray</v>
      </c>
      <c r="U133" s="13">
        <v>21000</v>
      </c>
      <c r="V133" s="4">
        <v>2020</v>
      </c>
      <c r="W133" s="4">
        <v>202406</v>
      </c>
      <c r="X133" s="15">
        <f t="shared" si="2"/>
        <v>45473</v>
      </c>
      <c r="Y133" s="4" t="s">
        <v>389</v>
      </c>
      <c r="Z133" s="4" t="s">
        <v>362</v>
      </c>
    </row>
    <row r="134" spans="1:26" x14ac:dyDescent="0.2">
      <c r="A134" s="4" t="s">
        <v>424</v>
      </c>
      <c r="B134" s="8" t="s">
        <v>21</v>
      </c>
      <c r="C134" s="8" t="s">
        <v>110</v>
      </c>
      <c r="D134" s="8" t="s">
        <v>90</v>
      </c>
      <c r="E134" s="4" t="s">
        <v>482</v>
      </c>
      <c r="F134" s="4" t="s">
        <v>485</v>
      </c>
      <c r="G134" s="5">
        <v>43000</v>
      </c>
      <c r="H134" s="5" t="s">
        <v>92</v>
      </c>
      <c r="I134" s="5" t="s">
        <v>403</v>
      </c>
      <c r="J134" s="8" t="s">
        <v>549</v>
      </c>
      <c r="K134" s="8" t="s">
        <v>33</v>
      </c>
      <c r="L134" s="8" t="s">
        <v>404</v>
      </c>
      <c r="M134" s="8" t="s">
        <v>165</v>
      </c>
      <c r="N134" s="8" t="str">
        <f>IF(ISBLANK(Table13[[#This Row],[Dealer_Name]]), "UNKNOWN", Table13[[#This Row],[Dealer_Name]])</f>
        <v>Tesla Direct</v>
      </c>
      <c r="O134" s="8" t="s">
        <v>30</v>
      </c>
      <c r="P134" s="8" t="s">
        <v>166</v>
      </c>
      <c r="R134" s="14" t="str">
        <f>IF(ISBLANK(Table13[[#This Row],[Engine_Size]]), "UNKNOWN",Table13[[#This Row],[Engine_Size]])</f>
        <v>UNKNOWN</v>
      </c>
      <c r="S134" s="4" t="s">
        <v>54</v>
      </c>
      <c r="T134" s="8" t="str">
        <f>IF(ISBLANK(Table13[[#This Row],[Color]]), "UNKNOWN", Table13[[#This Row],[Color]])</f>
        <v>Silver</v>
      </c>
      <c r="U134" s="13">
        <v>1000</v>
      </c>
      <c r="V134" s="4">
        <v>2024</v>
      </c>
      <c r="W134" s="4">
        <v>202406</v>
      </c>
      <c r="X134" s="15">
        <f t="shared" si="2"/>
        <v>45473</v>
      </c>
      <c r="Y134" s="4" t="s">
        <v>389</v>
      </c>
      <c r="Z134" s="4" t="s">
        <v>362</v>
      </c>
    </row>
    <row r="135" spans="1:26" x14ac:dyDescent="0.2">
      <c r="A135" s="4" t="s">
        <v>425</v>
      </c>
      <c r="B135" s="8" t="s">
        <v>207</v>
      </c>
      <c r="C135" s="8" t="s">
        <v>406</v>
      </c>
      <c r="D135" s="8" t="s">
        <v>23</v>
      </c>
      <c r="E135" s="4" t="s">
        <v>73</v>
      </c>
      <c r="F135" s="4" t="s">
        <v>25</v>
      </c>
      <c r="G135" s="5">
        <v>29800</v>
      </c>
      <c r="H135" s="5" t="s">
        <v>41</v>
      </c>
      <c r="I135" s="5" t="s">
        <v>407</v>
      </c>
      <c r="J135" s="8" t="s">
        <v>486</v>
      </c>
      <c r="K135" s="8" t="s">
        <v>479</v>
      </c>
      <c r="L135" s="8" t="s">
        <v>408</v>
      </c>
      <c r="M135" s="8" t="s">
        <v>147</v>
      </c>
      <c r="N135" s="8" t="str">
        <f>IF(ISBLANK(Table13[[#This Row],[Dealer_Name]]), "UNKNOWN", Table13[[#This Row],[Dealer_Name]])</f>
        <v>Metro Honda</v>
      </c>
      <c r="O135" s="8" t="s">
        <v>52</v>
      </c>
      <c r="P135" s="8" t="s">
        <v>31</v>
      </c>
      <c r="Q135" s="10" t="s">
        <v>53</v>
      </c>
      <c r="R135" s="13" t="str">
        <f>IF(ISBLANK(Table13[[#This Row],[Engine_Size]]), "UNKNOWN",Table13[[#This Row],[Engine_Size]])</f>
        <v>1.5L</v>
      </c>
      <c r="S135" s="4" t="s">
        <v>46</v>
      </c>
      <c r="T135" s="8" t="str">
        <f>IF(ISBLANK(Table13[[#This Row],[Color]]), "UNKNOWN", Table13[[#This Row],[Color]])</f>
        <v>Black</v>
      </c>
      <c r="U135" s="13">
        <v>22000</v>
      </c>
      <c r="V135" s="4">
        <v>2021</v>
      </c>
      <c r="W135" s="4">
        <v>202404</v>
      </c>
      <c r="X135" s="15">
        <f t="shared" si="2"/>
        <v>45412</v>
      </c>
      <c r="Y135" s="4" t="s">
        <v>361</v>
      </c>
      <c r="Z135" s="4" t="s">
        <v>362</v>
      </c>
    </row>
    <row r="136" spans="1:26" x14ac:dyDescent="0.2">
      <c r="A136" s="4" t="s">
        <v>426</v>
      </c>
      <c r="B136" s="8" t="s">
        <v>227</v>
      </c>
      <c r="C136" s="8" t="s">
        <v>410</v>
      </c>
      <c r="D136" s="8" t="s">
        <v>90</v>
      </c>
      <c r="E136" s="4" t="s">
        <v>91</v>
      </c>
      <c r="F136" s="4" t="s">
        <v>485</v>
      </c>
      <c r="G136" s="5">
        <v>10435</v>
      </c>
      <c r="H136" s="5" t="s">
        <v>92</v>
      </c>
      <c r="I136" s="5" t="s">
        <v>411</v>
      </c>
      <c r="J136" s="8" t="s">
        <v>550</v>
      </c>
      <c r="K136" s="8" t="s">
        <v>475</v>
      </c>
      <c r="L136" s="8" t="s">
        <v>66</v>
      </c>
      <c r="M136" s="8" t="s">
        <v>165</v>
      </c>
      <c r="N136" s="8" t="str">
        <f>IF(ISBLANK(Table13[[#This Row],[Dealer_Name]]), "UNKNOWN", Table13[[#This Row],[Dealer_Name]])</f>
        <v>Tesla Direct</v>
      </c>
      <c r="O136" s="8" t="s">
        <v>30</v>
      </c>
      <c r="P136" s="8" t="s">
        <v>166</v>
      </c>
      <c r="R136" s="14" t="str">
        <f>IF(ISBLANK(Table13[[#This Row],[Engine_Size]]), "UNKNOWN",Table13[[#This Row],[Engine_Size]])</f>
        <v>UNKNOWN</v>
      </c>
      <c r="S136" s="4" t="s">
        <v>101</v>
      </c>
      <c r="T136" s="8" t="str">
        <f>IF(ISBLANK(Table13[[#This Row],[Color]]), "UNKNOWN", Table13[[#This Row],[Color]])</f>
        <v>Gray</v>
      </c>
      <c r="U136" s="13">
        <v>6000</v>
      </c>
      <c r="V136" s="4">
        <v>2024</v>
      </c>
      <c r="W136" s="4">
        <v>202405</v>
      </c>
      <c r="X136" s="15">
        <f t="shared" si="2"/>
        <v>45443</v>
      </c>
      <c r="Y136" s="4" t="s">
        <v>375</v>
      </c>
      <c r="Z136" s="4" t="s">
        <v>362</v>
      </c>
    </row>
    <row r="137" spans="1:26" x14ac:dyDescent="0.2">
      <c r="A137" s="4" t="s">
        <v>427</v>
      </c>
      <c r="B137" s="8" t="s">
        <v>21</v>
      </c>
      <c r="C137" s="8" t="s">
        <v>37</v>
      </c>
      <c r="D137" s="8" t="s">
        <v>38</v>
      </c>
      <c r="E137" s="4" t="s">
        <v>39</v>
      </c>
      <c r="F137" s="4" t="s">
        <v>40</v>
      </c>
      <c r="G137" s="5">
        <v>27000</v>
      </c>
      <c r="H137" s="5" t="s">
        <v>41</v>
      </c>
      <c r="I137" s="5" t="s">
        <v>359</v>
      </c>
      <c r="J137" s="8" t="s">
        <v>538</v>
      </c>
      <c r="K137" s="8" t="s">
        <v>484</v>
      </c>
      <c r="L137" s="8" t="s">
        <v>360</v>
      </c>
      <c r="M137" s="8" t="s">
        <v>248</v>
      </c>
      <c r="N137" s="8" t="str">
        <f>IF(ISBLANK(Table13[[#This Row],[Dealer_Name]]), "UNKNOWN", Table13[[#This Row],[Dealer_Name]])</f>
        <v>BMW Elite</v>
      </c>
      <c r="O137" s="8" t="s">
        <v>52</v>
      </c>
      <c r="P137" s="8" t="s">
        <v>31</v>
      </c>
      <c r="Q137" s="10" t="s">
        <v>190</v>
      </c>
      <c r="R137" s="13" t="str">
        <f>IF(ISBLANK(Table13[[#This Row],[Engine_Size]]), "UNKNOWN",Table13[[#This Row],[Engine_Size]])</f>
        <v>3.0L</v>
      </c>
      <c r="S137" s="4" t="s">
        <v>101</v>
      </c>
      <c r="T137" s="8" t="str">
        <f>IF(ISBLANK(Table13[[#This Row],[Color]]), "UNKNOWN", Table13[[#This Row],[Color]])</f>
        <v>Gray</v>
      </c>
      <c r="U137" s="13">
        <v>32000</v>
      </c>
      <c r="V137" s="4">
        <v>2020</v>
      </c>
      <c r="W137" s="4">
        <v>202404</v>
      </c>
      <c r="X137" s="15">
        <f t="shared" si="2"/>
        <v>45412</v>
      </c>
      <c r="Y137" s="4" t="s">
        <v>361</v>
      </c>
      <c r="Z137" s="4" t="s">
        <v>362</v>
      </c>
    </row>
    <row r="138" spans="1:26" x14ac:dyDescent="0.2">
      <c r="A138" s="4" t="s">
        <v>428</v>
      </c>
      <c r="B138" s="8" t="s">
        <v>21</v>
      </c>
      <c r="C138" s="8" t="s">
        <v>37</v>
      </c>
      <c r="D138" s="8" t="s">
        <v>38</v>
      </c>
      <c r="E138" s="4" t="s">
        <v>39</v>
      </c>
      <c r="F138" s="4" t="s">
        <v>40</v>
      </c>
      <c r="G138" s="5">
        <v>27000</v>
      </c>
      <c r="H138" s="5" t="s">
        <v>41</v>
      </c>
      <c r="I138" s="5" t="s">
        <v>364</v>
      </c>
      <c r="J138" s="8" t="s">
        <v>539</v>
      </c>
      <c r="K138" s="8" t="s">
        <v>487</v>
      </c>
      <c r="L138" s="8" t="s">
        <v>365</v>
      </c>
      <c r="M138" s="8" t="s">
        <v>165</v>
      </c>
      <c r="N138" s="8" t="str">
        <f>IF(ISBLANK(Table13[[#This Row],[Dealer_Name]]), "UNKNOWN", Table13[[#This Row],[Dealer_Name]])</f>
        <v>Tesla Direct</v>
      </c>
      <c r="O138" s="8" t="s">
        <v>30</v>
      </c>
      <c r="P138" s="8" t="s">
        <v>166</v>
      </c>
      <c r="R138" s="14" t="str">
        <f>IF(ISBLANK(Table13[[#This Row],[Engine_Size]]), "UNKNOWN",Table13[[#This Row],[Engine_Size]])</f>
        <v>UNKNOWN</v>
      </c>
      <c r="S138" s="4" t="s">
        <v>33</v>
      </c>
      <c r="T138" s="8" t="str">
        <f>IF(ISBLANK(Table13[[#This Row],[Color]]), "UNKNOWN", Table13[[#This Row],[Color]])</f>
        <v>White</v>
      </c>
      <c r="U138" s="13">
        <v>12000</v>
      </c>
      <c r="V138" s="4">
        <v>2023</v>
      </c>
      <c r="W138" s="4">
        <v>202404</v>
      </c>
      <c r="X138" s="15">
        <f t="shared" si="2"/>
        <v>45412</v>
      </c>
      <c r="Y138" s="4" t="s">
        <v>361</v>
      </c>
      <c r="Z138" s="4" t="s">
        <v>362</v>
      </c>
    </row>
    <row r="139" spans="1:26" x14ac:dyDescent="0.2">
      <c r="A139" s="4" t="s">
        <v>429</v>
      </c>
      <c r="B139" s="8" t="s">
        <v>21</v>
      </c>
      <c r="C139" s="8" t="s">
        <v>37</v>
      </c>
      <c r="D139" s="8" t="s">
        <v>23</v>
      </c>
      <c r="E139" s="4" t="s">
        <v>73</v>
      </c>
      <c r="F139" s="4" t="s">
        <v>25</v>
      </c>
      <c r="G139" s="5">
        <v>29500</v>
      </c>
      <c r="H139" s="5" t="s">
        <v>41</v>
      </c>
      <c r="I139" s="5" t="s">
        <v>367</v>
      </c>
      <c r="J139" s="8" t="s">
        <v>540</v>
      </c>
      <c r="K139" s="8" t="s">
        <v>468</v>
      </c>
      <c r="L139" s="8" t="s">
        <v>368</v>
      </c>
      <c r="M139" s="8" t="s">
        <v>76</v>
      </c>
      <c r="N139" s="8" t="str">
        <f>IF(ISBLANK(Table13[[#This Row],[Dealer_Name]]), "UNKNOWN", Table13[[#This Row],[Dealer_Name]])</f>
        <v>toyota center</v>
      </c>
      <c r="O139" s="8" t="s">
        <v>30</v>
      </c>
      <c r="P139" s="8" t="s">
        <v>39</v>
      </c>
      <c r="Q139" s="10" t="s">
        <v>32</v>
      </c>
      <c r="R139" s="13" t="str">
        <f>IF(ISBLANK(Table13[[#This Row],[Engine_Size]]), "UNKNOWN",Table13[[#This Row],[Engine_Size]])</f>
        <v>1.8L</v>
      </c>
      <c r="S139" s="4" t="s">
        <v>61</v>
      </c>
      <c r="T139" s="8" t="str">
        <f>IF(ISBLANK(Table13[[#This Row],[Color]]), "UNKNOWN", Table13[[#This Row],[Color]])</f>
        <v>Blue</v>
      </c>
      <c r="U139" s="13">
        <v>9000</v>
      </c>
      <c r="V139" s="4">
        <v>2023</v>
      </c>
      <c r="W139" s="4">
        <v>202404</v>
      </c>
      <c r="X139" s="15">
        <f t="shared" si="2"/>
        <v>45412</v>
      </c>
      <c r="Y139" s="4" t="s">
        <v>361</v>
      </c>
      <c r="Z139" s="4" t="s">
        <v>362</v>
      </c>
    </row>
    <row r="140" spans="1:26" x14ac:dyDescent="0.2">
      <c r="A140" s="4" t="s">
        <v>430</v>
      </c>
      <c r="B140" s="8" t="s">
        <v>21</v>
      </c>
      <c r="C140" s="8" t="s">
        <v>37</v>
      </c>
      <c r="D140" s="8" t="s">
        <v>38</v>
      </c>
      <c r="E140" s="4" t="s">
        <v>39</v>
      </c>
      <c r="F140" s="4" t="s">
        <v>40</v>
      </c>
      <c r="G140" s="5">
        <v>27000</v>
      </c>
      <c r="H140" s="5" t="s">
        <v>41</v>
      </c>
      <c r="I140" s="5" t="s">
        <v>370</v>
      </c>
      <c r="J140" s="8" t="s">
        <v>541</v>
      </c>
      <c r="K140" s="8" t="s">
        <v>490</v>
      </c>
      <c r="L140" s="8" t="s">
        <v>371</v>
      </c>
      <c r="M140" s="8" t="s">
        <v>372</v>
      </c>
      <c r="N140" s="8" t="str">
        <f>IF(ISBLANK(Table13[[#This Row],[Dealer_Name]]), "UNKNOWN", Table13[[#This Row],[Dealer_Name]])</f>
        <v>chevy world</v>
      </c>
      <c r="O140" s="8" t="s">
        <v>68</v>
      </c>
      <c r="P140" s="8" t="s">
        <v>31</v>
      </c>
      <c r="Q140" s="10" t="s">
        <v>53</v>
      </c>
      <c r="R140" s="13" t="str">
        <f>IF(ISBLANK(Table13[[#This Row],[Engine_Size]]), "UNKNOWN",Table13[[#This Row],[Engine_Size]])</f>
        <v>1.5L</v>
      </c>
      <c r="S140" s="4" t="s">
        <v>33</v>
      </c>
      <c r="T140" s="8" t="str">
        <f>IF(ISBLANK(Table13[[#This Row],[Color]]), "UNKNOWN", Table13[[#This Row],[Color]])</f>
        <v>White</v>
      </c>
      <c r="U140" s="13">
        <v>20000</v>
      </c>
      <c r="V140" s="4">
        <v>2022</v>
      </c>
      <c r="W140" s="4">
        <v>202404</v>
      </c>
      <c r="X140" s="15">
        <f t="shared" si="2"/>
        <v>45412</v>
      </c>
      <c r="Y140" s="4" t="s">
        <v>361</v>
      </c>
      <c r="Z140" s="4" t="s">
        <v>362</v>
      </c>
    </row>
    <row r="141" spans="1:26" x14ac:dyDescent="0.2">
      <c r="A141" s="4" t="s">
        <v>431</v>
      </c>
      <c r="B141" s="8" t="s">
        <v>21</v>
      </c>
      <c r="C141" s="8" t="s">
        <v>37</v>
      </c>
      <c r="D141" s="8" t="s">
        <v>38</v>
      </c>
      <c r="E141" s="4" t="s">
        <v>39</v>
      </c>
      <c r="F141" s="4" t="s">
        <v>40</v>
      </c>
      <c r="G141" s="5">
        <v>27000</v>
      </c>
      <c r="H141" s="5" t="s">
        <v>41</v>
      </c>
      <c r="I141" s="5" t="s">
        <v>374</v>
      </c>
      <c r="J141" s="8" t="s">
        <v>542</v>
      </c>
      <c r="K141" s="8" t="s">
        <v>33</v>
      </c>
      <c r="L141" s="8" t="s">
        <v>237</v>
      </c>
      <c r="M141" s="8" t="s">
        <v>248</v>
      </c>
      <c r="N141" s="8" t="str">
        <f>IF(ISBLANK(Table13[[#This Row],[Dealer_Name]]), "UNKNOWN", Table13[[#This Row],[Dealer_Name]])</f>
        <v>BMW Elite</v>
      </c>
      <c r="O141" s="8" t="s">
        <v>52</v>
      </c>
      <c r="P141" s="8" t="s">
        <v>31</v>
      </c>
      <c r="Q141" s="10" t="s">
        <v>156</v>
      </c>
      <c r="R141" s="13" t="str">
        <f>IF(ISBLANK(Table13[[#This Row],[Engine_Size]]), "UNKNOWN",Table13[[#This Row],[Engine_Size]])</f>
        <v>2.0L</v>
      </c>
      <c r="S141" s="4" t="s">
        <v>46</v>
      </c>
      <c r="T141" s="8" t="str">
        <f>IF(ISBLANK(Table13[[#This Row],[Color]]), "UNKNOWN", Table13[[#This Row],[Color]])</f>
        <v>Black</v>
      </c>
      <c r="U141" s="13">
        <v>28000</v>
      </c>
      <c r="V141" s="4">
        <v>2020</v>
      </c>
      <c r="W141" s="4">
        <v>202405</v>
      </c>
      <c r="X141" s="15">
        <f t="shared" si="2"/>
        <v>45443</v>
      </c>
      <c r="Y141" s="4" t="s">
        <v>375</v>
      </c>
      <c r="Z141" s="4" t="s">
        <v>362</v>
      </c>
    </row>
    <row r="142" spans="1:26" x14ac:dyDescent="0.2">
      <c r="A142" s="4" t="s">
        <v>432</v>
      </c>
      <c r="B142" s="8" t="s">
        <v>21</v>
      </c>
      <c r="C142" s="8" t="s">
        <v>103</v>
      </c>
      <c r="D142" s="8" t="s">
        <v>90</v>
      </c>
      <c r="E142" s="4" t="s">
        <v>482</v>
      </c>
      <c r="F142" s="4" t="s">
        <v>25</v>
      </c>
      <c r="G142" s="5">
        <v>35800</v>
      </c>
      <c r="H142" s="5" t="s">
        <v>41</v>
      </c>
      <c r="I142" s="5" t="s">
        <v>377</v>
      </c>
      <c r="J142" s="8" t="s">
        <v>543</v>
      </c>
      <c r="K142" s="8" t="s">
        <v>484</v>
      </c>
      <c r="L142" s="8" t="s">
        <v>378</v>
      </c>
      <c r="M142" s="8" t="s">
        <v>29</v>
      </c>
      <c r="N142" s="8" t="str">
        <f>IF(ISBLANK(Table13[[#This Row],[Dealer_Name]]), "UNKNOWN", Table13[[#This Row],[Dealer_Name]])</f>
        <v>Toyota Center</v>
      </c>
      <c r="O142" s="8" t="s">
        <v>30</v>
      </c>
      <c r="P142" s="8" t="s">
        <v>31</v>
      </c>
      <c r="Q142" s="10" t="s">
        <v>60</v>
      </c>
      <c r="R142" s="13" t="str">
        <f>IF(ISBLANK(Table13[[#This Row],[Engine_Size]]), "UNKNOWN",Table13[[#This Row],[Engine_Size]])</f>
        <v>2.5L</v>
      </c>
      <c r="S142" s="4" t="s">
        <v>54</v>
      </c>
      <c r="T142" s="8" t="str">
        <f>IF(ISBLANK(Table13[[#This Row],[Color]]), "UNKNOWN", Table13[[#This Row],[Color]])</f>
        <v>Silver</v>
      </c>
      <c r="U142" s="13">
        <v>11000</v>
      </c>
      <c r="V142" s="4">
        <v>2023</v>
      </c>
      <c r="W142" s="4">
        <v>202405</v>
      </c>
      <c r="X142" s="15">
        <f t="shared" si="2"/>
        <v>45443</v>
      </c>
      <c r="Y142" s="4" t="s">
        <v>375</v>
      </c>
      <c r="Z142" s="4" t="s">
        <v>362</v>
      </c>
    </row>
    <row r="143" spans="1:26" x14ac:dyDescent="0.2">
      <c r="A143" s="4" t="s">
        <v>433</v>
      </c>
      <c r="B143" s="8" t="s">
        <v>21</v>
      </c>
      <c r="C143" s="8" t="s">
        <v>37</v>
      </c>
      <c r="D143" s="8" t="s">
        <v>38</v>
      </c>
      <c r="E143" s="4" t="s">
        <v>39</v>
      </c>
      <c r="F143" s="4" t="s">
        <v>40</v>
      </c>
      <c r="G143" s="5">
        <v>27000</v>
      </c>
      <c r="H143" s="5" t="s">
        <v>41</v>
      </c>
      <c r="I143" s="5" t="s">
        <v>380</v>
      </c>
      <c r="J143" s="8" t="s">
        <v>544</v>
      </c>
      <c r="K143" s="8" t="s">
        <v>487</v>
      </c>
      <c r="L143" s="8" t="s">
        <v>381</v>
      </c>
      <c r="M143" s="8" t="s">
        <v>382</v>
      </c>
      <c r="N143" s="8" t="str">
        <f>IF(ISBLANK(Table13[[#This Row],[Dealer_Name]]), "UNKNOWN", Table13[[#This Row],[Dealer_Name]])</f>
        <v>nissan direct</v>
      </c>
      <c r="O143" s="8" t="s">
        <v>85</v>
      </c>
      <c r="P143" s="8" t="s">
        <v>31</v>
      </c>
      <c r="Q143" s="10" t="s">
        <v>60</v>
      </c>
      <c r="R143" s="13" t="str">
        <f>IF(ISBLANK(Table13[[#This Row],[Engine_Size]]), "UNKNOWN",Table13[[#This Row],[Engine_Size]])</f>
        <v>2.5L</v>
      </c>
      <c r="S143" s="4" t="s">
        <v>61</v>
      </c>
      <c r="T143" s="8" t="str">
        <f>IF(ISBLANK(Table13[[#This Row],[Color]]), "UNKNOWN", Table13[[#This Row],[Color]])</f>
        <v>Blue</v>
      </c>
      <c r="U143" s="13">
        <v>24000</v>
      </c>
      <c r="V143" s="4">
        <v>2021</v>
      </c>
      <c r="W143" s="4">
        <v>202405</v>
      </c>
      <c r="X143" s="15">
        <f t="shared" si="2"/>
        <v>45443</v>
      </c>
      <c r="Y143" s="4" t="s">
        <v>375</v>
      </c>
      <c r="Z143" s="4" t="s">
        <v>362</v>
      </c>
    </row>
    <row r="144" spans="1:26" x14ac:dyDescent="0.2">
      <c r="A144" s="4" t="s">
        <v>434</v>
      </c>
      <c r="B144" s="8" t="s">
        <v>21</v>
      </c>
      <c r="C144" s="8" t="s">
        <v>103</v>
      </c>
      <c r="D144" s="8" t="s">
        <v>90</v>
      </c>
      <c r="E144" s="4" t="s">
        <v>482</v>
      </c>
      <c r="F144" s="4" t="s">
        <v>25</v>
      </c>
      <c r="G144" s="5">
        <v>32000</v>
      </c>
      <c r="H144" s="5" t="s">
        <v>41</v>
      </c>
      <c r="I144" s="5" t="s">
        <v>384</v>
      </c>
      <c r="J144" s="8" t="s">
        <v>478</v>
      </c>
      <c r="K144" s="8" t="s">
        <v>472</v>
      </c>
      <c r="L144" s="8" t="s">
        <v>385</v>
      </c>
      <c r="M144" s="8" t="s">
        <v>248</v>
      </c>
      <c r="N144" s="8" t="str">
        <f>IF(ISBLANK(Table13[[#This Row],[Dealer_Name]]), "UNKNOWN", Table13[[#This Row],[Dealer_Name]])</f>
        <v>BMW Elite</v>
      </c>
      <c r="O144" s="8" t="s">
        <v>52</v>
      </c>
      <c r="P144" s="8" t="s">
        <v>31</v>
      </c>
      <c r="Q144" s="10" t="s">
        <v>156</v>
      </c>
      <c r="R144" s="13" t="str">
        <f>IF(ISBLANK(Table13[[#This Row],[Engine_Size]]), "UNKNOWN",Table13[[#This Row],[Engine_Size]])</f>
        <v>2.0L</v>
      </c>
      <c r="S144" s="4" t="s">
        <v>54</v>
      </c>
      <c r="T144" s="8" t="str">
        <f>IF(ISBLANK(Table13[[#This Row],[Color]]), "UNKNOWN", Table13[[#This Row],[Color]])</f>
        <v>Silver</v>
      </c>
      <c r="U144" s="13">
        <v>21000</v>
      </c>
      <c r="V144" s="4">
        <v>2021</v>
      </c>
      <c r="W144" s="4">
        <v>202405</v>
      </c>
      <c r="X144" s="15">
        <f t="shared" si="2"/>
        <v>45443</v>
      </c>
      <c r="Y144" s="4" t="s">
        <v>375</v>
      </c>
      <c r="Z144" s="4" t="s">
        <v>362</v>
      </c>
    </row>
    <row r="145" spans="1:26" x14ac:dyDescent="0.2">
      <c r="A145" s="4" t="s">
        <v>435</v>
      </c>
      <c r="B145" s="8" t="s">
        <v>21</v>
      </c>
      <c r="C145" s="8" t="s">
        <v>110</v>
      </c>
      <c r="D145" s="8" t="s">
        <v>90</v>
      </c>
      <c r="E145" s="4" t="s">
        <v>91</v>
      </c>
      <c r="F145" s="4" t="s">
        <v>25</v>
      </c>
      <c r="G145" s="5">
        <v>44800</v>
      </c>
      <c r="H145" s="5" t="s">
        <v>92</v>
      </c>
      <c r="I145" s="5" t="s">
        <v>387</v>
      </c>
      <c r="J145" s="8" t="s">
        <v>545</v>
      </c>
      <c r="K145" s="8" t="s">
        <v>33</v>
      </c>
      <c r="L145" s="8" t="s">
        <v>388</v>
      </c>
      <c r="M145" s="8" t="s">
        <v>29</v>
      </c>
      <c r="N145" s="8" t="str">
        <f>IF(ISBLANK(Table13[[#This Row],[Dealer_Name]]), "UNKNOWN", Table13[[#This Row],[Dealer_Name]])</f>
        <v>Toyota Center</v>
      </c>
      <c r="O145" s="8" t="s">
        <v>30</v>
      </c>
      <c r="P145" s="8" t="s">
        <v>31</v>
      </c>
      <c r="Q145" s="10" t="s">
        <v>77</v>
      </c>
      <c r="R145" s="13" t="str">
        <f>IF(ISBLANK(Table13[[#This Row],[Engine_Size]]), "UNKNOWN",Table13[[#This Row],[Engine_Size]])</f>
        <v>3.5L</v>
      </c>
      <c r="S145" s="4" t="s">
        <v>101</v>
      </c>
      <c r="T145" s="8" t="str">
        <f>IF(ISBLANK(Table13[[#This Row],[Color]]), "UNKNOWN", Table13[[#This Row],[Color]])</f>
        <v>Gray</v>
      </c>
      <c r="U145" s="13">
        <v>18000</v>
      </c>
      <c r="V145" s="4">
        <v>2022</v>
      </c>
      <c r="W145" s="4">
        <v>202406</v>
      </c>
      <c r="X145" s="15">
        <f t="shared" si="2"/>
        <v>45473</v>
      </c>
      <c r="Y145" s="4" t="s">
        <v>389</v>
      </c>
      <c r="Z145" s="4" t="s">
        <v>362</v>
      </c>
    </row>
    <row r="146" spans="1:26" x14ac:dyDescent="0.2">
      <c r="A146" s="4" t="s">
        <v>436</v>
      </c>
      <c r="B146" s="8" t="s">
        <v>21</v>
      </c>
      <c r="C146" s="8" t="s">
        <v>110</v>
      </c>
      <c r="D146" s="8" t="s">
        <v>90</v>
      </c>
      <c r="E146" s="4" t="s">
        <v>482</v>
      </c>
      <c r="F146" s="4" t="s">
        <v>485</v>
      </c>
      <c r="G146" s="5">
        <v>43000</v>
      </c>
      <c r="H146" s="5" t="s">
        <v>92</v>
      </c>
      <c r="I146" s="5" t="s">
        <v>391</v>
      </c>
      <c r="J146" s="8" t="s">
        <v>546</v>
      </c>
      <c r="K146" s="8" t="s">
        <v>484</v>
      </c>
      <c r="L146" s="8" t="s">
        <v>392</v>
      </c>
      <c r="M146" s="8" t="s">
        <v>142</v>
      </c>
      <c r="N146" s="8" t="str">
        <f>IF(ISBLANK(Table13[[#This Row],[Dealer_Name]]), "UNKNOWN", Table13[[#This Row],[Dealer_Name]])</f>
        <v>Jeep Nation</v>
      </c>
      <c r="O146" s="8" t="s">
        <v>85</v>
      </c>
      <c r="P146" s="8" t="s">
        <v>31</v>
      </c>
      <c r="Q146" s="10" t="s">
        <v>45</v>
      </c>
      <c r="R146" s="13" t="str">
        <f>IF(ISBLANK(Table13[[#This Row],[Engine_Size]]), "UNKNOWN",Table13[[#This Row],[Engine_Size]])</f>
        <v>2.4L</v>
      </c>
      <c r="S146" s="4" t="s">
        <v>54</v>
      </c>
      <c r="T146" s="8" t="str">
        <f>IF(ISBLANK(Table13[[#This Row],[Color]]), "UNKNOWN", Table13[[#This Row],[Color]])</f>
        <v>Silver</v>
      </c>
      <c r="U146" s="13">
        <v>20000</v>
      </c>
      <c r="V146" s="4">
        <v>2021</v>
      </c>
      <c r="W146" s="4">
        <v>202406</v>
      </c>
      <c r="X146" s="15">
        <f t="shared" si="2"/>
        <v>45473</v>
      </c>
      <c r="Y146" s="4" t="s">
        <v>389</v>
      </c>
      <c r="Z146" s="4" t="s">
        <v>362</v>
      </c>
    </row>
    <row r="147" spans="1:26" x14ac:dyDescent="0.2">
      <c r="A147" s="4" t="s">
        <v>437</v>
      </c>
      <c r="B147" s="8" t="s">
        <v>21</v>
      </c>
      <c r="C147" s="8" t="s">
        <v>103</v>
      </c>
      <c r="D147" s="8" t="s">
        <v>90</v>
      </c>
      <c r="E147" s="4" t="s">
        <v>482</v>
      </c>
      <c r="F147" s="4" t="s">
        <v>25</v>
      </c>
      <c r="G147" s="5">
        <v>32000</v>
      </c>
      <c r="H147" s="5" t="s">
        <v>41</v>
      </c>
      <c r="I147" s="5" t="s">
        <v>394</v>
      </c>
      <c r="J147" s="8" t="s">
        <v>547</v>
      </c>
      <c r="K147" s="8" t="s">
        <v>468</v>
      </c>
      <c r="L147" s="8" t="s">
        <v>395</v>
      </c>
      <c r="M147" s="8" t="s">
        <v>248</v>
      </c>
      <c r="N147" s="8" t="str">
        <f>IF(ISBLANK(Table13[[#This Row],[Dealer_Name]]), "UNKNOWN", Table13[[#This Row],[Dealer_Name]])</f>
        <v>BMW Elite</v>
      </c>
      <c r="O147" s="8" t="s">
        <v>52</v>
      </c>
      <c r="P147" s="8" t="s">
        <v>31</v>
      </c>
      <c r="Q147" s="10" t="s">
        <v>156</v>
      </c>
      <c r="R147" s="13" t="str">
        <f>IF(ISBLANK(Table13[[#This Row],[Engine_Size]]), "UNKNOWN",Table13[[#This Row],[Engine_Size]])</f>
        <v>2.0L</v>
      </c>
      <c r="S147" s="4" t="s">
        <v>46</v>
      </c>
      <c r="T147" s="8" t="str">
        <f>IF(ISBLANK(Table13[[#This Row],[Color]]), "UNKNOWN", Table13[[#This Row],[Color]])</f>
        <v>Black</v>
      </c>
      <c r="U147" s="13">
        <v>15000</v>
      </c>
      <c r="V147" s="4">
        <v>2022</v>
      </c>
      <c r="W147" s="4">
        <v>202406</v>
      </c>
      <c r="X147" s="15">
        <f t="shared" si="2"/>
        <v>45473</v>
      </c>
      <c r="Y147" s="4" t="s">
        <v>389</v>
      </c>
      <c r="Z147" s="4" t="s">
        <v>362</v>
      </c>
    </row>
    <row r="148" spans="1:26" x14ac:dyDescent="0.2">
      <c r="A148" s="4" t="s">
        <v>438</v>
      </c>
      <c r="B148" s="8" t="s">
        <v>21</v>
      </c>
      <c r="C148" s="8" t="s">
        <v>397</v>
      </c>
      <c r="D148" s="8" t="s">
        <v>398</v>
      </c>
      <c r="E148" s="4" t="s">
        <v>399</v>
      </c>
      <c r="F148" s="4" t="s">
        <v>25</v>
      </c>
      <c r="G148" s="5">
        <v>33500</v>
      </c>
      <c r="H148" s="5" t="s">
        <v>41</v>
      </c>
      <c r="I148" s="5" t="s">
        <v>400</v>
      </c>
      <c r="J148" s="8" t="s">
        <v>548</v>
      </c>
      <c r="K148" s="8" t="s">
        <v>519</v>
      </c>
      <c r="L148" s="8" t="s">
        <v>401</v>
      </c>
      <c r="M148" s="8" t="s">
        <v>29</v>
      </c>
      <c r="N148" s="8" t="str">
        <f>IF(ISBLANK(Table13[[#This Row],[Dealer_Name]]), "UNKNOWN", Table13[[#This Row],[Dealer_Name]])</f>
        <v>Toyota Center</v>
      </c>
      <c r="O148" s="8" t="s">
        <v>30</v>
      </c>
      <c r="P148" s="8" t="s">
        <v>31</v>
      </c>
      <c r="Q148" s="10" t="s">
        <v>133</v>
      </c>
      <c r="R148" s="13" t="str">
        <f>IF(ISBLANK(Table13[[#This Row],[Engine_Size]]), "UNKNOWN",Table13[[#This Row],[Engine_Size]])</f>
        <v>2.7L</v>
      </c>
      <c r="S148" s="4" t="s">
        <v>101</v>
      </c>
      <c r="T148" s="8" t="str">
        <f>IF(ISBLANK(Table13[[#This Row],[Color]]), "UNKNOWN", Table13[[#This Row],[Color]])</f>
        <v>Gray</v>
      </c>
      <c r="U148" s="13">
        <v>21000</v>
      </c>
      <c r="V148" s="4">
        <v>2020</v>
      </c>
      <c r="W148" s="4">
        <v>202406</v>
      </c>
      <c r="X148" s="15">
        <f t="shared" si="2"/>
        <v>45473</v>
      </c>
      <c r="Y148" s="4" t="s">
        <v>389</v>
      </c>
      <c r="Z148" s="4" t="s">
        <v>362</v>
      </c>
    </row>
    <row r="149" spans="1:26" x14ac:dyDescent="0.2">
      <c r="A149" s="4" t="s">
        <v>439</v>
      </c>
      <c r="B149" s="8" t="s">
        <v>21</v>
      </c>
      <c r="C149" s="8" t="s">
        <v>110</v>
      </c>
      <c r="D149" s="8" t="s">
        <v>90</v>
      </c>
      <c r="E149" s="4" t="s">
        <v>482</v>
      </c>
      <c r="F149" s="4" t="s">
        <v>485</v>
      </c>
      <c r="G149" s="5">
        <v>43000</v>
      </c>
      <c r="H149" s="5" t="s">
        <v>92</v>
      </c>
      <c r="I149" s="5" t="s">
        <v>403</v>
      </c>
      <c r="J149" s="8" t="s">
        <v>549</v>
      </c>
      <c r="K149" s="8" t="s">
        <v>33</v>
      </c>
      <c r="L149" s="8" t="s">
        <v>404</v>
      </c>
      <c r="M149" s="8" t="s">
        <v>165</v>
      </c>
      <c r="N149" s="8" t="str">
        <f>IF(ISBLANK(Table13[[#This Row],[Dealer_Name]]), "UNKNOWN", Table13[[#This Row],[Dealer_Name]])</f>
        <v>Tesla Direct</v>
      </c>
      <c r="O149" s="8" t="s">
        <v>30</v>
      </c>
      <c r="P149" s="8" t="s">
        <v>166</v>
      </c>
      <c r="R149" s="14" t="str">
        <f>IF(ISBLANK(Table13[[#This Row],[Engine_Size]]), "UNKNOWN",Table13[[#This Row],[Engine_Size]])</f>
        <v>UNKNOWN</v>
      </c>
      <c r="S149" s="4" t="s">
        <v>54</v>
      </c>
      <c r="T149" s="8" t="str">
        <f>IF(ISBLANK(Table13[[#This Row],[Color]]), "UNKNOWN", Table13[[#This Row],[Color]])</f>
        <v>Silver</v>
      </c>
      <c r="U149" s="13">
        <v>1000</v>
      </c>
      <c r="V149" s="4">
        <v>2024</v>
      </c>
      <c r="W149" s="4">
        <v>202406</v>
      </c>
      <c r="X149" s="15">
        <f t="shared" si="2"/>
        <v>45473</v>
      </c>
      <c r="Y149" s="4" t="s">
        <v>389</v>
      </c>
      <c r="Z149" s="4" t="s">
        <v>362</v>
      </c>
    </row>
    <row r="150" spans="1:26" x14ac:dyDescent="0.2">
      <c r="A150" s="4" t="s">
        <v>440</v>
      </c>
      <c r="B150" s="8" t="s">
        <v>207</v>
      </c>
      <c r="C150" s="8" t="s">
        <v>406</v>
      </c>
      <c r="D150" s="8" t="s">
        <v>23</v>
      </c>
      <c r="E150" s="4" t="s">
        <v>73</v>
      </c>
      <c r="F150" s="4" t="s">
        <v>25</v>
      </c>
      <c r="G150" s="5">
        <v>29800</v>
      </c>
      <c r="H150" s="5" t="s">
        <v>41</v>
      </c>
      <c r="I150" s="5" t="s">
        <v>407</v>
      </c>
      <c r="J150" s="8" t="s">
        <v>486</v>
      </c>
      <c r="K150" s="8" t="s">
        <v>479</v>
      </c>
      <c r="L150" s="8" t="s">
        <v>408</v>
      </c>
      <c r="M150" s="8" t="s">
        <v>147</v>
      </c>
      <c r="N150" s="8" t="str">
        <f>IF(ISBLANK(Table13[[#This Row],[Dealer_Name]]), "UNKNOWN", Table13[[#This Row],[Dealer_Name]])</f>
        <v>Metro Honda</v>
      </c>
      <c r="O150" s="8" t="s">
        <v>52</v>
      </c>
      <c r="P150" s="8" t="s">
        <v>31</v>
      </c>
      <c r="Q150" s="10" t="s">
        <v>53</v>
      </c>
      <c r="R150" s="13" t="str">
        <f>IF(ISBLANK(Table13[[#This Row],[Engine_Size]]), "UNKNOWN",Table13[[#This Row],[Engine_Size]])</f>
        <v>1.5L</v>
      </c>
      <c r="S150" s="4" t="s">
        <v>46</v>
      </c>
      <c r="T150" s="8" t="str">
        <f>IF(ISBLANK(Table13[[#This Row],[Color]]), "UNKNOWN", Table13[[#This Row],[Color]])</f>
        <v>Black</v>
      </c>
      <c r="U150" s="13">
        <v>22000</v>
      </c>
      <c r="V150" s="4">
        <v>2021</v>
      </c>
      <c r="W150" s="4">
        <v>202404</v>
      </c>
      <c r="X150" s="15">
        <f t="shared" si="2"/>
        <v>45412</v>
      </c>
      <c r="Y150" s="4" t="s">
        <v>361</v>
      </c>
      <c r="Z150" s="4" t="s">
        <v>362</v>
      </c>
    </row>
    <row r="151" spans="1:26" x14ac:dyDescent="0.2">
      <c r="A151" s="4" t="s">
        <v>441</v>
      </c>
      <c r="B151" s="8" t="s">
        <v>227</v>
      </c>
      <c r="C151" s="8" t="s">
        <v>410</v>
      </c>
      <c r="D151" s="8" t="s">
        <v>90</v>
      </c>
      <c r="E151" s="4" t="s">
        <v>91</v>
      </c>
      <c r="F151" s="4" t="s">
        <v>485</v>
      </c>
      <c r="G151" s="5">
        <v>10436</v>
      </c>
      <c r="H151" s="5" t="s">
        <v>92</v>
      </c>
      <c r="I151" s="5" t="s">
        <v>411</v>
      </c>
      <c r="J151" s="8" t="s">
        <v>550</v>
      </c>
      <c r="K151" s="8" t="s">
        <v>475</v>
      </c>
      <c r="L151" s="8" t="s">
        <v>66</v>
      </c>
      <c r="M151" s="8" t="s">
        <v>165</v>
      </c>
      <c r="N151" s="8" t="str">
        <f>IF(ISBLANK(Table13[[#This Row],[Dealer_Name]]), "UNKNOWN", Table13[[#This Row],[Dealer_Name]])</f>
        <v>Tesla Direct</v>
      </c>
      <c r="O151" s="8" t="s">
        <v>30</v>
      </c>
      <c r="P151" s="8" t="s">
        <v>166</v>
      </c>
      <c r="R151" s="14" t="str">
        <f>IF(ISBLANK(Table13[[#This Row],[Engine_Size]]), "UNKNOWN",Table13[[#This Row],[Engine_Size]])</f>
        <v>UNKNOWN</v>
      </c>
      <c r="S151" s="4" t="s">
        <v>101</v>
      </c>
      <c r="T151" s="8" t="str">
        <f>IF(ISBLANK(Table13[[#This Row],[Color]]), "UNKNOWN", Table13[[#This Row],[Color]])</f>
        <v>Gray</v>
      </c>
      <c r="U151" s="13">
        <v>6000</v>
      </c>
      <c r="V151" s="4">
        <v>2024</v>
      </c>
      <c r="W151" s="4">
        <v>202405</v>
      </c>
      <c r="X151" s="15">
        <f t="shared" si="2"/>
        <v>45443</v>
      </c>
      <c r="Y151" s="4" t="s">
        <v>375</v>
      </c>
      <c r="Z151" s="4" t="s">
        <v>362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E5F11-103C-44BD-BA59-11D830555BB6}">
  <dimension ref="A1:X207"/>
  <sheetViews>
    <sheetView topLeftCell="A86" workbookViewId="0">
      <selection activeCell="J171" sqref="J171"/>
    </sheetView>
  </sheetViews>
  <sheetFormatPr baseColWidth="10" defaultColWidth="9.1640625" defaultRowHeight="13" x14ac:dyDescent="0.15"/>
  <cols>
    <col min="1" max="1" width="25.6640625" style="26" customWidth="1"/>
    <col min="2" max="2" width="8.83203125" style="27" bestFit="1" customWidth="1"/>
    <col min="3" max="3" width="14.5" style="27" bestFit="1" customWidth="1"/>
    <col min="4" max="4" width="18" style="27" customWidth="1"/>
    <col min="5" max="5" width="23.1640625" style="27" bestFit="1" customWidth="1"/>
    <col min="6" max="6" width="18.1640625" style="27" bestFit="1" customWidth="1"/>
    <col min="7" max="7" width="17.83203125" style="28" bestFit="1" customWidth="1"/>
    <col min="8" max="8" width="16.5" style="28" bestFit="1" customWidth="1"/>
    <col min="9" max="9" width="17.5" style="27" bestFit="1" customWidth="1"/>
    <col min="10" max="10" width="22.83203125" style="27" customWidth="1"/>
    <col min="11" max="11" width="22.6640625" style="27" customWidth="1"/>
    <col min="12" max="12" width="24.5" style="27" bestFit="1" customWidth="1"/>
    <col min="13" max="13" width="14.5" style="26" customWidth="1"/>
    <col min="14" max="14" width="24.1640625" style="26" customWidth="1"/>
    <col min="15" max="15" width="15.5" style="26" customWidth="1"/>
    <col min="16" max="16" width="12" style="26" customWidth="1"/>
    <col min="17" max="17" width="22.83203125" style="29" customWidth="1"/>
    <col min="18" max="18" width="17" style="27" customWidth="1"/>
    <col min="19" max="19" width="9.83203125" style="29" customWidth="1"/>
    <col min="20" max="20" width="13.1640625" style="26" customWidth="1"/>
    <col min="21" max="21" width="22.5" style="30" customWidth="1"/>
    <col min="22" max="22" width="26" style="31" bestFit="1" customWidth="1"/>
    <col min="23" max="23" width="18.6640625" style="27" customWidth="1"/>
    <col min="24" max="24" width="9.6640625" style="26" customWidth="1"/>
    <col min="25" max="16384" width="9.1640625" style="26"/>
  </cols>
  <sheetData>
    <row r="1" spans="1:24" x14ac:dyDescent="0.15">
      <c r="A1" s="26" t="s">
        <v>0</v>
      </c>
      <c r="B1" s="27" t="s">
        <v>1</v>
      </c>
      <c r="C1" s="27" t="s">
        <v>2</v>
      </c>
      <c r="D1" s="27" t="s">
        <v>3</v>
      </c>
      <c r="E1" s="27" t="s">
        <v>4</v>
      </c>
      <c r="F1" s="27" t="s">
        <v>5</v>
      </c>
      <c r="G1" s="28" t="s">
        <v>6</v>
      </c>
      <c r="H1" s="28" t="s">
        <v>7</v>
      </c>
      <c r="I1" s="27" t="s">
        <v>8</v>
      </c>
      <c r="J1" s="27" t="s">
        <v>458</v>
      </c>
      <c r="K1" s="27" t="s">
        <v>459</v>
      </c>
      <c r="L1" s="27" t="s">
        <v>9</v>
      </c>
      <c r="M1" s="26" t="s">
        <v>10</v>
      </c>
      <c r="N1" s="26" t="s">
        <v>460</v>
      </c>
      <c r="O1" s="26" t="s">
        <v>11</v>
      </c>
      <c r="P1" s="26" t="s">
        <v>12</v>
      </c>
      <c r="Q1" s="29" t="s">
        <v>461</v>
      </c>
      <c r="R1" s="27" t="s">
        <v>462</v>
      </c>
      <c r="S1" s="29" t="s">
        <v>15</v>
      </c>
      <c r="T1" s="26" t="s">
        <v>16</v>
      </c>
      <c r="U1" s="30" t="s">
        <v>17</v>
      </c>
      <c r="V1" s="31" t="s">
        <v>463</v>
      </c>
      <c r="W1" s="27" t="s">
        <v>18</v>
      </c>
      <c r="X1" s="26" t="s">
        <v>19</v>
      </c>
    </row>
    <row r="2" spans="1:24" x14ac:dyDescent="0.15">
      <c r="A2" s="26" t="s">
        <v>20</v>
      </c>
      <c r="B2" s="27" t="s">
        <v>21</v>
      </c>
      <c r="C2" s="27" t="s">
        <v>22</v>
      </c>
      <c r="D2" s="27" t="s">
        <v>23</v>
      </c>
      <c r="E2" s="27" t="s">
        <v>464</v>
      </c>
      <c r="F2" s="27" t="s">
        <v>25</v>
      </c>
      <c r="G2" s="28">
        <v>24500</v>
      </c>
      <c r="H2" s="28" t="s">
        <v>26</v>
      </c>
      <c r="I2" s="27" t="s">
        <v>27</v>
      </c>
      <c r="J2" s="27" t="s">
        <v>465</v>
      </c>
      <c r="K2" s="27" t="s">
        <v>466</v>
      </c>
      <c r="L2" s="27" t="s">
        <v>28</v>
      </c>
      <c r="M2" s="26" t="s">
        <v>29</v>
      </c>
      <c r="N2" s="26" t="s">
        <v>29</v>
      </c>
      <c r="O2" s="26" t="s">
        <v>30</v>
      </c>
      <c r="P2" s="26" t="s">
        <v>31</v>
      </c>
      <c r="Q2" s="29" t="s">
        <v>32</v>
      </c>
      <c r="R2" s="27" t="s">
        <v>33</v>
      </c>
      <c r="S2" s="29">
        <v>8500</v>
      </c>
      <c r="T2" s="26">
        <v>2021</v>
      </c>
      <c r="U2" s="30">
        <v>202401</v>
      </c>
      <c r="V2" s="31">
        <v>45322</v>
      </c>
      <c r="W2" s="27" t="s">
        <v>34</v>
      </c>
      <c r="X2" s="26" t="s">
        <v>35</v>
      </c>
    </row>
    <row r="3" spans="1:24" x14ac:dyDescent="0.15">
      <c r="A3" s="26" t="s">
        <v>36</v>
      </c>
      <c r="B3" s="27" t="s">
        <v>21</v>
      </c>
      <c r="C3" s="27" t="s">
        <v>37</v>
      </c>
      <c r="D3" s="27" t="s">
        <v>38</v>
      </c>
      <c r="E3" s="27" t="s">
        <v>39</v>
      </c>
      <c r="F3" s="27" t="s">
        <v>40</v>
      </c>
      <c r="G3" s="28">
        <v>27000</v>
      </c>
      <c r="H3" s="28" t="s">
        <v>41</v>
      </c>
      <c r="I3" s="27" t="s">
        <v>42</v>
      </c>
      <c r="J3" s="27" t="s">
        <v>467</v>
      </c>
      <c r="K3" s="27" t="s">
        <v>468</v>
      </c>
      <c r="L3" s="27" t="s">
        <v>43</v>
      </c>
      <c r="M3" s="26" t="s">
        <v>44</v>
      </c>
      <c r="N3" s="26" t="s">
        <v>44</v>
      </c>
      <c r="O3" s="26" t="s">
        <v>30</v>
      </c>
      <c r="P3" s="26" t="s">
        <v>31</v>
      </c>
      <c r="Q3" s="29" t="s">
        <v>45</v>
      </c>
      <c r="R3" s="27" t="s">
        <v>46</v>
      </c>
      <c r="S3" s="29">
        <v>28000</v>
      </c>
      <c r="T3" s="26">
        <v>2019</v>
      </c>
      <c r="U3" s="30">
        <v>202402</v>
      </c>
      <c r="V3" s="31">
        <v>45351</v>
      </c>
      <c r="W3" s="27" t="s">
        <v>47</v>
      </c>
      <c r="X3" s="26" t="s">
        <v>35</v>
      </c>
    </row>
    <row r="4" spans="1:24" x14ac:dyDescent="0.15">
      <c r="A4" s="26" t="s">
        <v>48</v>
      </c>
      <c r="B4" s="27" t="s">
        <v>21</v>
      </c>
      <c r="C4" s="27" t="s">
        <v>22</v>
      </c>
      <c r="D4" s="27" t="s">
        <v>23</v>
      </c>
      <c r="E4" s="27" t="s">
        <v>464</v>
      </c>
      <c r="F4" s="27" t="s">
        <v>25</v>
      </c>
      <c r="G4" s="28">
        <v>22000</v>
      </c>
      <c r="H4" s="28" t="s">
        <v>26</v>
      </c>
      <c r="I4" s="27" t="s">
        <v>49</v>
      </c>
      <c r="J4" s="27" t="s">
        <v>469</v>
      </c>
      <c r="K4" s="27" t="s">
        <v>470</v>
      </c>
      <c r="L4" s="27" t="s">
        <v>50</v>
      </c>
      <c r="M4" s="26" t="s">
        <v>51</v>
      </c>
      <c r="N4" s="26" t="s">
        <v>51</v>
      </c>
      <c r="O4" s="26" t="s">
        <v>52</v>
      </c>
      <c r="P4" s="26" t="s">
        <v>31</v>
      </c>
      <c r="Q4" s="29" t="s">
        <v>53</v>
      </c>
      <c r="R4" s="27" t="s">
        <v>54</v>
      </c>
      <c r="S4" s="29">
        <v>19000</v>
      </c>
      <c r="T4" s="26">
        <v>2021</v>
      </c>
      <c r="U4" s="30">
        <v>202403</v>
      </c>
      <c r="V4" s="31">
        <v>45382</v>
      </c>
      <c r="W4" s="27" t="s">
        <v>55</v>
      </c>
      <c r="X4" s="26" t="s">
        <v>35</v>
      </c>
    </row>
    <row r="5" spans="1:24" x14ac:dyDescent="0.15">
      <c r="A5" s="26" t="s">
        <v>56</v>
      </c>
      <c r="B5" s="27" t="s">
        <v>21</v>
      </c>
      <c r="C5" s="27" t="s">
        <v>22</v>
      </c>
      <c r="D5" s="27" t="s">
        <v>23</v>
      </c>
      <c r="E5" s="27" t="s">
        <v>464</v>
      </c>
      <c r="F5" s="27" t="s">
        <v>25</v>
      </c>
      <c r="G5" s="28">
        <v>22000</v>
      </c>
      <c r="H5" s="28" t="s">
        <v>26</v>
      </c>
      <c r="I5" s="27" t="s">
        <v>49</v>
      </c>
      <c r="J5" s="27" t="s">
        <v>469</v>
      </c>
      <c r="K5" s="27" t="s">
        <v>470</v>
      </c>
      <c r="L5" s="27" t="s">
        <v>50</v>
      </c>
      <c r="M5" s="26" t="s">
        <v>51</v>
      </c>
      <c r="N5" s="26" t="s">
        <v>51</v>
      </c>
      <c r="O5" s="26" t="s">
        <v>52</v>
      </c>
      <c r="P5" s="26" t="s">
        <v>31</v>
      </c>
      <c r="Q5" s="29" t="s">
        <v>53</v>
      </c>
      <c r="R5" s="27" t="s">
        <v>54</v>
      </c>
      <c r="S5" s="29">
        <v>19000</v>
      </c>
      <c r="T5" s="26">
        <v>2021</v>
      </c>
      <c r="U5" s="30">
        <v>202403</v>
      </c>
      <c r="V5" s="31">
        <v>45382</v>
      </c>
      <c r="W5" s="27" t="s">
        <v>55</v>
      </c>
      <c r="X5" s="26" t="s">
        <v>35</v>
      </c>
    </row>
    <row r="6" spans="1:24" x14ac:dyDescent="0.15">
      <c r="A6" s="26" t="s">
        <v>57</v>
      </c>
      <c r="B6" s="27" t="s">
        <v>21</v>
      </c>
      <c r="C6" s="27" t="s">
        <v>22</v>
      </c>
      <c r="D6" s="27" t="s">
        <v>23</v>
      </c>
      <c r="E6" s="27" t="s">
        <v>464</v>
      </c>
      <c r="F6" s="27" t="s">
        <v>25</v>
      </c>
      <c r="G6" s="28">
        <v>22000</v>
      </c>
      <c r="H6" s="28" t="s">
        <v>26</v>
      </c>
      <c r="I6" s="27" t="s">
        <v>58</v>
      </c>
      <c r="J6" s="27" t="s">
        <v>471</v>
      </c>
      <c r="K6" s="27" t="s">
        <v>472</v>
      </c>
      <c r="L6" s="27" t="s">
        <v>59</v>
      </c>
      <c r="M6" s="26" t="s">
        <v>29</v>
      </c>
      <c r="N6" s="26" t="s">
        <v>29</v>
      </c>
      <c r="O6" s="26" t="s">
        <v>30</v>
      </c>
      <c r="P6" s="26" t="s">
        <v>39</v>
      </c>
      <c r="Q6" s="29" t="s">
        <v>60</v>
      </c>
      <c r="R6" s="27" t="s">
        <v>61</v>
      </c>
      <c r="S6" s="29">
        <v>14000</v>
      </c>
      <c r="T6" s="26">
        <v>2022</v>
      </c>
      <c r="U6" s="30">
        <v>202403</v>
      </c>
      <c r="V6" s="31">
        <v>45382</v>
      </c>
      <c r="W6" s="27" t="s">
        <v>55</v>
      </c>
      <c r="X6" s="26" t="s">
        <v>35</v>
      </c>
    </row>
    <row r="7" spans="1:24" x14ac:dyDescent="0.15">
      <c r="A7" s="26" t="s">
        <v>62</v>
      </c>
      <c r="B7" s="27" t="s">
        <v>21</v>
      </c>
      <c r="C7" s="27" t="s">
        <v>63</v>
      </c>
      <c r="D7" s="27" t="s">
        <v>23</v>
      </c>
      <c r="E7" s="27" t="s">
        <v>473</v>
      </c>
      <c r="F7" s="27" t="s">
        <v>25</v>
      </c>
      <c r="G7" s="28">
        <v>28000</v>
      </c>
      <c r="H7" s="28" t="s">
        <v>41</v>
      </c>
      <c r="I7" s="27" t="s">
        <v>65</v>
      </c>
      <c r="J7" s="27" t="s">
        <v>474</v>
      </c>
      <c r="K7" s="27" t="s">
        <v>475</v>
      </c>
      <c r="L7" s="27" t="s">
        <v>66</v>
      </c>
      <c r="M7" s="26" t="s">
        <v>67</v>
      </c>
      <c r="N7" s="26" t="s">
        <v>67</v>
      </c>
      <c r="O7" s="26" t="s">
        <v>68</v>
      </c>
      <c r="P7" s="26" t="s">
        <v>31</v>
      </c>
      <c r="Q7" s="29" t="s">
        <v>69</v>
      </c>
      <c r="R7" s="27" t="s">
        <v>70</v>
      </c>
      <c r="S7" s="29">
        <v>21000</v>
      </c>
      <c r="T7" s="26">
        <v>2021</v>
      </c>
      <c r="U7" s="30">
        <v>202403</v>
      </c>
      <c r="V7" s="31">
        <v>45382</v>
      </c>
      <c r="W7" s="27" t="s">
        <v>55</v>
      </c>
      <c r="X7" s="26" t="s">
        <v>35</v>
      </c>
    </row>
    <row r="8" spans="1:24" x14ac:dyDescent="0.15">
      <c r="A8" s="26" t="s">
        <v>71</v>
      </c>
      <c r="B8" s="27" t="s">
        <v>21</v>
      </c>
      <c r="C8" s="27" t="s">
        <v>72</v>
      </c>
      <c r="D8" s="27" t="s">
        <v>23</v>
      </c>
      <c r="E8" s="27" t="s">
        <v>73</v>
      </c>
      <c r="F8" s="27" t="s">
        <v>25</v>
      </c>
      <c r="G8" s="28">
        <v>39500</v>
      </c>
      <c r="H8" s="28" t="s">
        <v>41</v>
      </c>
      <c r="I8" s="27" t="s">
        <v>74</v>
      </c>
      <c r="J8" s="27" t="s">
        <v>476</v>
      </c>
      <c r="K8" s="27" t="s">
        <v>477</v>
      </c>
      <c r="L8" s="27" t="s">
        <v>75</v>
      </c>
      <c r="M8" s="26" t="s">
        <v>76</v>
      </c>
      <c r="N8" s="26" t="s">
        <v>76</v>
      </c>
      <c r="O8" s="26" t="s">
        <v>30</v>
      </c>
      <c r="P8" s="26" t="s">
        <v>31</v>
      </c>
      <c r="Q8" s="29" t="s">
        <v>77</v>
      </c>
      <c r="R8" s="27" t="s">
        <v>46</v>
      </c>
      <c r="S8" s="29">
        <v>17000</v>
      </c>
      <c r="T8" s="26">
        <v>2021</v>
      </c>
      <c r="U8" s="30">
        <v>202407</v>
      </c>
      <c r="V8" s="31">
        <v>45504</v>
      </c>
      <c r="W8" s="27" t="s">
        <v>78</v>
      </c>
      <c r="X8" s="26" t="s">
        <v>79</v>
      </c>
    </row>
    <row r="9" spans="1:24" x14ac:dyDescent="0.15">
      <c r="A9" s="26" t="s">
        <v>80</v>
      </c>
      <c r="B9" s="27" t="s">
        <v>21</v>
      </c>
      <c r="C9" s="27" t="s">
        <v>37</v>
      </c>
      <c r="D9" s="27" t="s">
        <v>38</v>
      </c>
      <c r="E9" s="27" t="s">
        <v>39</v>
      </c>
      <c r="F9" s="27" t="s">
        <v>40</v>
      </c>
      <c r="G9" s="28">
        <v>27000</v>
      </c>
      <c r="H9" s="28" t="s">
        <v>41</v>
      </c>
      <c r="I9" s="27" t="s">
        <v>82</v>
      </c>
      <c r="J9" s="27" t="s">
        <v>478</v>
      </c>
      <c r="K9" s="27" t="s">
        <v>479</v>
      </c>
      <c r="L9" s="27" t="s">
        <v>83</v>
      </c>
      <c r="M9" s="26" t="s">
        <v>84</v>
      </c>
      <c r="N9" s="26" t="s">
        <v>84</v>
      </c>
      <c r="O9" s="26" t="s">
        <v>85</v>
      </c>
      <c r="P9" s="26" t="s">
        <v>31</v>
      </c>
      <c r="Q9" s="29" t="s">
        <v>86</v>
      </c>
      <c r="R9" s="27" t="s">
        <v>87</v>
      </c>
      <c r="S9" s="29">
        <v>11000</v>
      </c>
      <c r="T9" s="26">
        <v>2023</v>
      </c>
      <c r="U9" s="30">
        <v>202407</v>
      </c>
      <c r="V9" s="31">
        <v>45504</v>
      </c>
      <c r="W9" s="27" t="s">
        <v>78</v>
      </c>
      <c r="X9" s="26" t="s">
        <v>79</v>
      </c>
    </row>
    <row r="10" spans="1:24" x14ac:dyDescent="0.15">
      <c r="A10" s="26" t="s">
        <v>88</v>
      </c>
      <c r="B10" s="27" t="s">
        <v>21</v>
      </c>
      <c r="C10" s="27" t="s">
        <v>89</v>
      </c>
      <c r="D10" s="27" t="s">
        <v>90</v>
      </c>
      <c r="E10" s="27" t="s">
        <v>91</v>
      </c>
      <c r="F10" s="27" t="s">
        <v>25</v>
      </c>
      <c r="G10" s="28">
        <v>56900</v>
      </c>
      <c r="H10" s="28" t="s">
        <v>92</v>
      </c>
      <c r="I10" s="27" t="s">
        <v>93</v>
      </c>
      <c r="J10" s="27" t="s">
        <v>480</v>
      </c>
      <c r="K10" s="27" t="s">
        <v>472</v>
      </c>
      <c r="L10" s="27" t="s">
        <v>94</v>
      </c>
      <c r="M10" s="26" t="s">
        <v>29</v>
      </c>
      <c r="N10" s="26" t="s">
        <v>29</v>
      </c>
      <c r="O10" s="26" t="s">
        <v>30</v>
      </c>
      <c r="P10" s="26" t="s">
        <v>31</v>
      </c>
      <c r="Q10" s="29" t="s">
        <v>95</v>
      </c>
      <c r="R10" s="27" t="s">
        <v>46</v>
      </c>
      <c r="S10" s="29">
        <v>28000</v>
      </c>
      <c r="T10" s="26">
        <v>2019</v>
      </c>
      <c r="U10" s="30">
        <v>202407</v>
      </c>
      <c r="V10" s="31">
        <v>45504</v>
      </c>
      <c r="W10" s="27" t="s">
        <v>78</v>
      </c>
      <c r="X10" s="26" t="s">
        <v>79</v>
      </c>
    </row>
    <row r="11" spans="1:24" x14ac:dyDescent="0.15">
      <c r="A11" s="26" t="s">
        <v>96</v>
      </c>
      <c r="B11" s="27" t="s">
        <v>21</v>
      </c>
      <c r="C11" s="27" t="s">
        <v>22</v>
      </c>
      <c r="D11" s="27" t="s">
        <v>23</v>
      </c>
      <c r="E11" s="27" t="s">
        <v>464</v>
      </c>
      <c r="F11" s="27" t="s">
        <v>25</v>
      </c>
      <c r="G11" s="28">
        <v>22000</v>
      </c>
      <c r="H11" s="28" t="s">
        <v>26</v>
      </c>
      <c r="I11" s="27" t="s">
        <v>97</v>
      </c>
      <c r="J11" s="27" t="s">
        <v>481</v>
      </c>
      <c r="K11" s="27" t="s">
        <v>475</v>
      </c>
      <c r="L11" s="27" t="s">
        <v>98</v>
      </c>
      <c r="M11" s="26" t="s">
        <v>99</v>
      </c>
      <c r="N11" s="26" t="s">
        <v>99</v>
      </c>
      <c r="O11" s="26" t="s">
        <v>68</v>
      </c>
      <c r="P11" s="26" t="s">
        <v>31</v>
      </c>
      <c r="Q11" s="29" t="s">
        <v>100</v>
      </c>
      <c r="R11" s="27" t="s">
        <v>101</v>
      </c>
      <c r="S11" s="29">
        <v>25000</v>
      </c>
      <c r="T11" s="26">
        <v>2020</v>
      </c>
      <c r="U11" s="30">
        <v>202407</v>
      </c>
      <c r="V11" s="31">
        <v>45504</v>
      </c>
      <c r="W11" s="27" t="s">
        <v>78</v>
      </c>
      <c r="X11" s="26" t="s">
        <v>79</v>
      </c>
    </row>
    <row r="12" spans="1:24" x14ac:dyDescent="0.15">
      <c r="A12" s="26" t="s">
        <v>102</v>
      </c>
      <c r="B12" s="27" t="s">
        <v>21</v>
      </c>
      <c r="C12" s="27" t="s">
        <v>103</v>
      </c>
      <c r="D12" s="27" t="s">
        <v>90</v>
      </c>
      <c r="E12" s="27" t="s">
        <v>482</v>
      </c>
      <c r="F12" s="27" t="s">
        <v>25</v>
      </c>
      <c r="G12" s="28">
        <v>32000</v>
      </c>
      <c r="H12" s="28" t="s">
        <v>41</v>
      </c>
      <c r="I12" s="27" t="s">
        <v>106</v>
      </c>
      <c r="J12" s="27" t="s">
        <v>483</v>
      </c>
      <c r="K12" s="27" t="s">
        <v>484</v>
      </c>
      <c r="L12" s="27" t="s">
        <v>107</v>
      </c>
      <c r="M12" s="26" t="s">
        <v>51</v>
      </c>
      <c r="N12" s="26" t="s">
        <v>51</v>
      </c>
      <c r="O12" s="26" t="s">
        <v>52</v>
      </c>
      <c r="P12" s="26" t="s">
        <v>31</v>
      </c>
      <c r="Q12" s="29" t="s">
        <v>77</v>
      </c>
      <c r="R12" s="27" t="s">
        <v>54</v>
      </c>
      <c r="S12" s="29">
        <v>22000</v>
      </c>
      <c r="T12" s="26">
        <v>2021</v>
      </c>
      <c r="U12" s="30">
        <v>202408</v>
      </c>
      <c r="V12" s="31">
        <v>45535</v>
      </c>
      <c r="W12" s="27" t="s">
        <v>108</v>
      </c>
      <c r="X12" s="26" t="s">
        <v>79</v>
      </c>
    </row>
    <row r="13" spans="1:24" x14ac:dyDescent="0.15">
      <c r="A13" s="26" t="s">
        <v>109</v>
      </c>
      <c r="B13" s="27" t="s">
        <v>21</v>
      </c>
      <c r="C13" s="27" t="s">
        <v>110</v>
      </c>
      <c r="D13" s="27" t="s">
        <v>90</v>
      </c>
      <c r="E13" s="27" t="s">
        <v>482</v>
      </c>
      <c r="F13" s="27" t="s">
        <v>485</v>
      </c>
      <c r="G13" s="28">
        <v>43000</v>
      </c>
      <c r="H13" s="28" t="s">
        <v>92</v>
      </c>
      <c r="I13" s="27" t="s">
        <v>112</v>
      </c>
      <c r="J13" s="27" t="s">
        <v>486</v>
      </c>
      <c r="K13" s="27" t="s">
        <v>487</v>
      </c>
      <c r="L13" s="27" t="s">
        <v>113</v>
      </c>
      <c r="M13" s="26" t="s">
        <v>29</v>
      </c>
      <c r="N13" s="26" t="s">
        <v>29</v>
      </c>
      <c r="O13" s="26" t="s">
        <v>30</v>
      </c>
      <c r="P13" s="26" t="s">
        <v>39</v>
      </c>
      <c r="Q13" s="29" t="s">
        <v>60</v>
      </c>
      <c r="R13" s="27" t="s">
        <v>33</v>
      </c>
      <c r="S13" s="29">
        <v>15000</v>
      </c>
      <c r="T13" s="26">
        <v>2022</v>
      </c>
      <c r="U13" s="30">
        <v>202408</v>
      </c>
      <c r="V13" s="31">
        <v>45535</v>
      </c>
      <c r="W13" s="27" t="s">
        <v>108</v>
      </c>
      <c r="X13" s="26" t="s">
        <v>79</v>
      </c>
    </row>
    <row r="14" spans="1:24" x14ac:dyDescent="0.15">
      <c r="A14" s="26" t="s">
        <v>114</v>
      </c>
      <c r="B14" s="27" t="s">
        <v>21</v>
      </c>
      <c r="C14" s="27" t="s">
        <v>115</v>
      </c>
      <c r="D14" s="27" t="s">
        <v>23</v>
      </c>
      <c r="E14" s="27" t="s">
        <v>73</v>
      </c>
      <c r="F14" s="27" t="s">
        <v>25</v>
      </c>
      <c r="G14" s="28">
        <v>58500</v>
      </c>
      <c r="H14" s="28" t="s">
        <v>92</v>
      </c>
      <c r="I14" s="27" t="s">
        <v>116</v>
      </c>
      <c r="J14" s="27" t="s">
        <v>488</v>
      </c>
      <c r="K14" s="27" t="s">
        <v>468</v>
      </c>
      <c r="L14" s="27" t="s">
        <v>117</v>
      </c>
      <c r="M14" s="26" t="s">
        <v>44</v>
      </c>
      <c r="N14" s="26" t="s">
        <v>44</v>
      </c>
      <c r="O14" s="26" t="s">
        <v>30</v>
      </c>
      <c r="P14" s="26" t="s">
        <v>118</v>
      </c>
      <c r="Q14" s="29" t="s">
        <v>562</v>
      </c>
      <c r="R14" s="27" t="s">
        <v>61</v>
      </c>
      <c r="S14" s="29">
        <v>27000</v>
      </c>
      <c r="T14" s="26">
        <v>2019</v>
      </c>
      <c r="U14" s="30">
        <v>202408</v>
      </c>
      <c r="V14" s="31">
        <v>45535</v>
      </c>
      <c r="W14" s="27" t="s">
        <v>108</v>
      </c>
      <c r="X14" s="26" t="s">
        <v>79</v>
      </c>
    </row>
    <row r="15" spans="1:24" x14ac:dyDescent="0.15">
      <c r="A15" s="26" t="s">
        <v>119</v>
      </c>
      <c r="B15" s="27" t="s">
        <v>21</v>
      </c>
      <c r="C15" s="27" t="s">
        <v>120</v>
      </c>
      <c r="D15" s="27" t="s">
        <v>90</v>
      </c>
      <c r="E15" s="27" t="s">
        <v>91</v>
      </c>
      <c r="F15" s="27" t="s">
        <v>25</v>
      </c>
      <c r="G15" s="28">
        <v>31500</v>
      </c>
      <c r="H15" s="28" t="s">
        <v>41</v>
      </c>
      <c r="I15" s="27" t="s">
        <v>121</v>
      </c>
      <c r="J15" s="27" t="s">
        <v>489</v>
      </c>
      <c r="K15" s="27" t="s">
        <v>490</v>
      </c>
      <c r="L15" s="27" t="s">
        <v>122</v>
      </c>
      <c r="M15" s="26" t="s">
        <v>29</v>
      </c>
      <c r="N15" s="26" t="s">
        <v>29</v>
      </c>
      <c r="O15" s="26" t="s">
        <v>30</v>
      </c>
      <c r="P15" s="26" t="s">
        <v>31</v>
      </c>
      <c r="Q15" s="29" t="s">
        <v>123</v>
      </c>
      <c r="R15" s="27" t="s">
        <v>124</v>
      </c>
      <c r="S15" s="29">
        <v>40000</v>
      </c>
      <c r="T15" s="26">
        <v>2017</v>
      </c>
      <c r="U15" s="30">
        <v>202408</v>
      </c>
      <c r="V15" s="31">
        <v>45535</v>
      </c>
      <c r="W15" s="27" t="s">
        <v>108</v>
      </c>
      <c r="X15" s="26" t="s">
        <v>79</v>
      </c>
    </row>
    <row r="16" spans="1:24" x14ac:dyDescent="0.15">
      <c r="A16" s="26" t="s">
        <v>125</v>
      </c>
      <c r="B16" s="27" t="s">
        <v>21</v>
      </c>
      <c r="C16" s="27" t="s">
        <v>110</v>
      </c>
      <c r="D16" s="27" t="s">
        <v>90</v>
      </c>
      <c r="E16" s="27" t="s">
        <v>482</v>
      </c>
      <c r="F16" s="27" t="s">
        <v>485</v>
      </c>
      <c r="G16" s="28">
        <v>43000</v>
      </c>
      <c r="H16" s="28" t="s">
        <v>92</v>
      </c>
      <c r="I16" s="27" t="s">
        <v>126</v>
      </c>
      <c r="J16" s="27" t="s">
        <v>491</v>
      </c>
      <c r="K16" s="27" t="s">
        <v>475</v>
      </c>
      <c r="L16" s="27" t="s">
        <v>127</v>
      </c>
      <c r="M16" s="26" t="s">
        <v>44</v>
      </c>
      <c r="N16" s="26" t="s">
        <v>44</v>
      </c>
      <c r="O16" s="26" t="s">
        <v>30</v>
      </c>
      <c r="P16" s="26" t="s">
        <v>31</v>
      </c>
      <c r="Q16" s="29" t="s">
        <v>128</v>
      </c>
      <c r="R16" s="27" t="s">
        <v>46</v>
      </c>
      <c r="S16" s="29">
        <v>42000</v>
      </c>
      <c r="T16" s="26">
        <v>2017</v>
      </c>
      <c r="U16" s="30">
        <v>202408</v>
      </c>
      <c r="V16" s="31">
        <v>45535</v>
      </c>
      <c r="W16" s="27" t="s">
        <v>108</v>
      </c>
      <c r="X16" s="26" t="s">
        <v>79</v>
      </c>
    </row>
    <row r="17" spans="1:24" x14ac:dyDescent="0.15">
      <c r="A17" s="26" t="s">
        <v>129</v>
      </c>
      <c r="B17" s="27" t="s">
        <v>21</v>
      </c>
      <c r="C17" s="27" t="s">
        <v>130</v>
      </c>
      <c r="D17" s="27" t="s">
        <v>90</v>
      </c>
      <c r="E17" s="27" t="s">
        <v>91</v>
      </c>
      <c r="F17" s="27" t="s">
        <v>25</v>
      </c>
      <c r="G17" s="28">
        <v>35800</v>
      </c>
      <c r="H17" s="28" t="s">
        <v>41</v>
      </c>
      <c r="I17" s="27" t="s">
        <v>131</v>
      </c>
      <c r="J17" s="27" t="s">
        <v>492</v>
      </c>
      <c r="K17" s="27" t="s">
        <v>493</v>
      </c>
      <c r="L17" s="27" t="s">
        <v>132</v>
      </c>
      <c r="M17" s="26" t="s">
        <v>29</v>
      </c>
      <c r="N17" s="26" t="s">
        <v>29</v>
      </c>
      <c r="O17" s="26" t="s">
        <v>30</v>
      </c>
      <c r="P17" s="26" t="s">
        <v>31</v>
      </c>
      <c r="Q17" s="29" t="s">
        <v>133</v>
      </c>
      <c r="R17" s="27" t="s">
        <v>54</v>
      </c>
      <c r="S17" s="29">
        <v>24000</v>
      </c>
      <c r="T17" s="26">
        <v>2020</v>
      </c>
      <c r="U17" s="30">
        <v>202409</v>
      </c>
      <c r="V17" s="31">
        <v>45565</v>
      </c>
      <c r="W17" s="27" t="s">
        <v>134</v>
      </c>
      <c r="X17" s="26" t="s">
        <v>79</v>
      </c>
    </row>
    <row r="18" spans="1:24" x14ac:dyDescent="0.15">
      <c r="A18" s="26" t="s">
        <v>135</v>
      </c>
      <c r="B18" s="27" t="s">
        <v>21</v>
      </c>
      <c r="C18" s="27" t="s">
        <v>37</v>
      </c>
      <c r="D18" s="27" t="s">
        <v>38</v>
      </c>
      <c r="E18" s="27" t="s">
        <v>39</v>
      </c>
      <c r="F18" s="27" t="s">
        <v>40</v>
      </c>
      <c r="G18" s="28">
        <v>27000</v>
      </c>
      <c r="H18" s="28" t="s">
        <v>41</v>
      </c>
      <c r="I18" s="27" t="s">
        <v>136</v>
      </c>
      <c r="J18" s="27" t="s">
        <v>494</v>
      </c>
      <c r="K18" s="27" t="s">
        <v>472</v>
      </c>
      <c r="L18" s="27" t="s">
        <v>137</v>
      </c>
      <c r="M18" s="26" t="s">
        <v>138</v>
      </c>
      <c r="N18" s="26" t="s">
        <v>138</v>
      </c>
      <c r="O18" s="26" t="s">
        <v>30</v>
      </c>
      <c r="P18" s="26" t="s">
        <v>31</v>
      </c>
      <c r="Q18" s="29" t="s">
        <v>45</v>
      </c>
      <c r="R18" s="27" t="s">
        <v>61</v>
      </c>
      <c r="S18" s="29">
        <v>31000</v>
      </c>
      <c r="T18" s="26">
        <v>2019</v>
      </c>
      <c r="U18" s="30">
        <v>202409</v>
      </c>
      <c r="V18" s="31">
        <v>45565</v>
      </c>
      <c r="W18" s="27" t="s">
        <v>134</v>
      </c>
      <c r="X18" s="26" t="s">
        <v>79</v>
      </c>
    </row>
    <row r="19" spans="1:24" x14ac:dyDescent="0.15">
      <c r="A19" s="26" t="s">
        <v>139</v>
      </c>
      <c r="B19" s="27" t="s">
        <v>21</v>
      </c>
      <c r="C19" s="27" t="s">
        <v>110</v>
      </c>
      <c r="D19" s="27" t="s">
        <v>90</v>
      </c>
      <c r="E19" s="27" t="s">
        <v>482</v>
      </c>
      <c r="F19" s="27" t="s">
        <v>485</v>
      </c>
      <c r="G19" s="28">
        <v>43000</v>
      </c>
      <c r="H19" s="28" t="s">
        <v>92</v>
      </c>
      <c r="I19" s="27" t="s">
        <v>140</v>
      </c>
      <c r="J19" s="27" t="s">
        <v>495</v>
      </c>
      <c r="K19" s="27" t="s">
        <v>496</v>
      </c>
      <c r="L19" s="27" t="s">
        <v>141</v>
      </c>
      <c r="M19" s="26" t="s">
        <v>142</v>
      </c>
      <c r="N19" s="26" t="s">
        <v>142</v>
      </c>
      <c r="O19" s="26" t="s">
        <v>85</v>
      </c>
      <c r="P19" s="26" t="s">
        <v>31</v>
      </c>
      <c r="Q19" s="29" t="s">
        <v>45</v>
      </c>
      <c r="R19" s="27" t="s">
        <v>143</v>
      </c>
      <c r="S19" s="29">
        <v>34000</v>
      </c>
      <c r="T19" s="26">
        <v>2018</v>
      </c>
      <c r="U19" s="30">
        <v>202409</v>
      </c>
      <c r="V19" s="31">
        <v>45565</v>
      </c>
      <c r="W19" s="27" t="s">
        <v>134</v>
      </c>
      <c r="X19" s="26" t="s">
        <v>79</v>
      </c>
    </row>
    <row r="20" spans="1:24" x14ac:dyDescent="0.15">
      <c r="A20" s="26" t="s">
        <v>144</v>
      </c>
      <c r="B20" s="27" t="s">
        <v>21</v>
      </c>
      <c r="C20" s="27" t="s">
        <v>110</v>
      </c>
      <c r="D20" s="27" t="s">
        <v>90</v>
      </c>
      <c r="E20" s="27" t="s">
        <v>482</v>
      </c>
      <c r="F20" s="27" t="s">
        <v>485</v>
      </c>
      <c r="G20" s="28">
        <v>43000</v>
      </c>
      <c r="H20" s="28" t="s">
        <v>92</v>
      </c>
      <c r="I20" s="27" t="s">
        <v>145</v>
      </c>
      <c r="J20" s="27" t="s">
        <v>497</v>
      </c>
      <c r="K20" s="27" t="s">
        <v>477</v>
      </c>
      <c r="L20" s="27" t="s">
        <v>146</v>
      </c>
      <c r="M20" s="26" t="s">
        <v>147</v>
      </c>
      <c r="N20" s="26" t="s">
        <v>147</v>
      </c>
      <c r="O20" s="26" t="s">
        <v>52</v>
      </c>
      <c r="P20" s="26" t="s">
        <v>31</v>
      </c>
      <c r="Q20" s="29" t="s">
        <v>53</v>
      </c>
      <c r="R20" s="27" t="s">
        <v>61</v>
      </c>
      <c r="S20" s="29">
        <v>21000</v>
      </c>
      <c r="T20" s="26">
        <v>2021</v>
      </c>
      <c r="U20" s="30">
        <v>202409</v>
      </c>
      <c r="V20" s="31">
        <v>45565</v>
      </c>
      <c r="W20" s="27" t="s">
        <v>134</v>
      </c>
      <c r="X20" s="26" t="s">
        <v>79</v>
      </c>
    </row>
    <row r="21" spans="1:24" x14ac:dyDescent="0.15">
      <c r="A21" s="26" t="s">
        <v>148</v>
      </c>
      <c r="B21" s="27" t="s">
        <v>21</v>
      </c>
      <c r="C21" s="27" t="s">
        <v>149</v>
      </c>
      <c r="D21" s="27" t="s">
        <v>23</v>
      </c>
      <c r="E21" s="27" t="s">
        <v>464</v>
      </c>
      <c r="F21" s="27" t="s">
        <v>25</v>
      </c>
      <c r="G21" s="28">
        <v>18500</v>
      </c>
      <c r="H21" s="28" t="s">
        <v>26</v>
      </c>
      <c r="I21" s="27" t="s">
        <v>150</v>
      </c>
      <c r="J21" s="27" t="s">
        <v>498</v>
      </c>
      <c r="K21" s="27" t="s">
        <v>484</v>
      </c>
      <c r="L21" s="27" t="s">
        <v>151</v>
      </c>
      <c r="M21" s="26" t="s">
        <v>76</v>
      </c>
      <c r="N21" s="26" t="s">
        <v>76</v>
      </c>
      <c r="O21" s="26" t="s">
        <v>30</v>
      </c>
      <c r="P21" s="26" t="s">
        <v>31</v>
      </c>
      <c r="Q21" s="29" t="s">
        <v>53</v>
      </c>
      <c r="R21" s="27" t="s">
        <v>70</v>
      </c>
      <c r="S21" s="29">
        <v>18000</v>
      </c>
      <c r="T21" s="26">
        <v>2022</v>
      </c>
      <c r="U21" s="30">
        <v>202409</v>
      </c>
      <c r="V21" s="31">
        <v>45565</v>
      </c>
      <c r="W21" s="27" t="s">
        <v>134</v>
      </c>
      <c r="X21" s="26" t="s">
        <v>79</v>
      </c>
    </row>
    <row r="22" spans="1:24" x14ac:dyDescent="0.15">
      <c r="A22" s="26" t="s">
        <v>152</v>
      </c>
      <c r="B22" s="27" t="s">
        <v>21</v>
      </c>
      <c r="C22" s="27" t="s">
        <v>153</v>
      </c>
      <c r="D22" s="27" t="s">
        <v>90</v>
      </c>
      <c r="E22" s="27" t="s">
        <v>91</v>
      </c>
      <c r="F22" s="27" t="s">
        <v>25</v>
      </c>
      <c r="G22" s="28">
        <v>26500</v>
      </c>
      <c r="H22" s="28" t="s">
        <v>41</v>
      </c>
      <c r="I22" s="27" t="s">
        <v>154</v>
      </c>
      <c r="J22" s="27" t="s">
        <v>499</v>
      </c>
      <c r="K22" s="27" t="s">
        <v>490</v>
      </c>
      <c r="L22" s="27" t="s">
        <v>155</v>
      </c>
      <c r="M22" s="26" t="s">
        <v>29</v>
      </c>
      <c r="N22" s="26" t="s">
        <v>29</v>
      </c>
      <c r="O22" s="26" t="s">
        <v>30</v>
      </c>
      <c r="P22" s="26" t="s">
        <v>31</v>
      </c>
      <c r="Q22" s="29" t="s">
        <v>156</v>
      </c>
      <c r="R22" s="27" t="s">
        <v>46</v>
      </c>
      <c r="S22" s="29">
        <v>18000</v>
      </c>
      <c r="T22" s="26">
        <v>2022</v>
      </c>
      <c r="U22" s="30">
        <v>202410</v>
      </c>
      <c r="V22" s="31">
        <v>45596</v>
      </c>
      <c r="W22" s="27" t="s">
        <v>157</v>
      </c>
      <c r="X22" s="26" t="s">
        <v>158</v>
      </c>
    </row>
    <row r="23" spans="1:24" x14ac:dyDescent="0.15">
      <c r="A23" s="26" t="s">
        <v>159</v>
      </c>
      <c r="B23" s="27" t="s">
        <v>21</v>
      </c>
      <c r="C23" s="27" t="s">
        <v>63</v>
      </c>
      <c r="D23" s="27" t="s">
        <v>23</v>
      </c>
      <c r="E23" s="27" t="s">
        <v>473</v>
      </c>
      <c r="F23" s="27" t="s">
        <v>25</v>
      </c>
      <c r="G23" s="28">
        <v>28000</v>
      </c>
      <c r="H23" s="28" t="s">
        <v>41</v>
      </c>
      <c r="I23" s="27" t="s">
        <v>160</v>
      </c>
      <c r="J23" s="27" t="s">
        <v>500</v>
      </c>
      <c r="K23" s="27" t="s">
        <v>475</v>
      </c>
      <c r="L23" s="27" t="s">
        <v>161</v>
      </c>
      <c r="M23" s="26" t="s">
        <v>44</v>
      </c>
      <c r="N23" s="26" t="s">
        <v>44</v>
      </c>
      <c r="O23" s="26" t="s">
        <v>30</v>
      </c>
      <c r="P23" s="26" t="s">
        <v>31</v>
      </c>
      <c r="Q23" s="29" t="s">
        <v>156</v>
      </c>
      <c r="R23" s="27" t="s">
        <v>61</v>
      </c>
      <c r="S23" s="29">
        <v>15000</v>
      </c>
      <c r="T23" s="26">
        <v>2022</v>
      </c>
      <c r="U23" s="30">
        <v>202410</v>
      </c>
      <c r="V23" s="31">
        <v>45596</v>
      </c>
      <c r="W23" s="27" t="s">
        <v>157</v>
      </c>
      <c r="X23" s="26" t="s">
        <v>158</v>
      </c>
    </row>
    <row r="24" spans="1:24" x14ac:dyDescent="0.15">
      <c r="A24" s="26" t="s">
        <v>162</v>
      </c>
      <c r="B24" s="27" t="s">
        <v>21</v>
      </c>
      <c r="C24" s="27" t="s">
        <v>103</v>
      </c>
      <c r="D24" s="27" t="s">
        <v>90</v>
      </c>
      <c r="E24" s="27" t="s">
        <v>482</v>
      </c>
      <c r="F24" s="27" t="s">
        <v>25</v>
      </c>
      <c r="G24" s="28">
        <v>32000</v>
      </c>
      <c r="H24" s="28" t="s">
        <v>41</v>
      </c>
      <c r="I24" s="27" t="s">
        <v>163</v>
      </c>
      <c r="J24" s="27" t="s">
        <v>501</v>
      </c>
      <c r="K24" s="27" t="s">
        <v>479</v>
      </c>
      <c r="L24" s="27" t="s">
        <v>164</v>
      </c>
      <c r="M24" s="26" t="s">
        <v>165</v>
      </c>
      <c r="N24" s="26" t="s">
        <v>165</v>
      </c>
      <c r="O24" s="26" t="s">
        <v>30</v>
      </c>
      <c r="P24" s="26" t="s">
        <v>166</v>
      </c>
      <c r="Q24" s="29" t="s">
        <v>562</v>
      </c>
      <c r="R24" s="27" t="s">
        <v>54</v>
      </c>
      <c r="S24" s="29">
        <v>2500</v>
      </c>
      <c r="T24" s="26">
        <v>2024</v>
      </c>
      <c r="U24" s="30">
        <v>202410</v>
      </c>
      <c r="V24" s="31">
        <v>45596</v>
      </c>
      <c r="W24" s="27" t="s">
        <v>157</v>
      </c>
      <c r="X24" s="26" t="s">
        <v>158</v>
      </c>
    </row>
    <row r="25" spans="1:24" x14ac:dyDescent="0.15">
      <c r="A25" s="26" t="s">
        <v>167</v>
      </c>
      <c r="B25" s="27" t="s">
        <v>21</v>
      </c>
      <c r="C25" s="27" t="s">
        <v>37</v>
      </c>
      <c r="D25" s="27" t="s">
        <v>38</v>
      </c>
      <c r="E25" s="27" t="s">
        <v>39</v>
      </c>
      <c r="F25" s="27" t="s">
        <v>40</v>
      </c>
      <c r="G25" s="28">
        <v>27000</v>
      </c>
      <c r="H25" s="28" t="s">
        <v>41</v>
      </c>
      <c r="I25" s="27" t="s">
        <v>168</v>
      </c>
      <c r="J25" s="27" t="s">
        <v>502</v>
      </c>
      <c r="K25" s="27" t="s">
        <v>468</v>
      </c>
      <c r="L25" s="27" t="s">
        <v>169</v>
      </c>
      <c r="M25" s="26" t="s">
        <v>147</v>
      </c>
      <c r="N25" s="26" t="s">
        <v>147</v>
      </c>
      <c r="O25" s="26" t="s">
        <v>52</v>
      </c>
      <c r="P25" s="26" t="s">
        <v>39</v>
      </c>
      <c r="Q25" s="29" t="s">
        <v>53</v>
      </c>
      <c r="R25" s="27" t="s">
        <v>33</v>
      </c>
      <c r="S25" s="29">
        <v>11000</v>
      </c>
      <c r="T25" s="26">
        <v>2023</v>
      </c>
      <c r="U25" s="30">
        <v>202410</v>
      </c>
      <c r="V25" s="31">
        <v>45596</v>
      </c>
      <c r="W25" s="27" t="s">
        <v>157</v>
      </c>
      <c r="X25" s="26" t="s">
        <v>158</v>
      </c>
    </row>
    <row r="26" spans="1:24" x14ac:dyDescent="0.15">
      <c r="A26" s="26" t="s">
        <v>170</v>
      </c>
      <c r="B26" s="27" t="s">
        <v>21</v>
      </c>
      <c r="C26" s="27" t="s">
        <v>115</v>
      </c>
      <c r="D26" s="27" t="s">
        <v>23</v>
      </c>
      <c r="E26" s="27" t="s">
        <v>73</v>
      </c>
      <c r="F26" s="27" t="s">
        <v>25</v>
      </c>
      <c r="G26" s="28">
        <v>58500</v>
      </c>
      <c r="H26" s="28" t="s">
        <v>92</v>
      </c>
      <c r="I26" s="27" t="s">
        <v>171</v>
      </c>
      <c r="J26" s="27" t="s">
        <v>503</v>
      </c>
      <c r="K26" s="27" t="s">
        <v>493</v>
      </c>
      <c r="L26" s="27" t="s">
        <v>172</v>
      </c>
      <c r="M26" s="26" t="s">
        <v>29</v>
      </c>
      <c r="N26" s="26" t="s">
        <v>29</v>
      </c>
      <c r="O26" s="26" t="s">
        <v>30</v>
      </c>
      <c r="P26" s="26" t="s">
        <v>118</v>
      </c>
      <c r="Q26" s="29" t="s">
        <v>562</v>
      </c>
      <c r="R26" s="27" t="s">
        <v>61</v>
      </c>
      <c r="S26" s="29">
        <v>5000</v>
      </c>
      <c r="T26" s="26">
        <v>2024</v>
      </c>
      <c r="U26" s="30">
        <v>202410</v>
      </c>
      <c r="V26" s="31">
        <v>45596</v>
      </c>
      <c r="W26" s="27" t="s">
        <v>157</v>
      </c>
      <c r="X26" s="26" t="s">
        <v>158</v>
      </c>
    </row>
    <row r="27" spans="1:24" x14ac:dyDescent="0.15">
      <c r="A27" s="26" t="s">
        <v>173</v>
      </c>
      <c r="B27" s="27" t="s">
        <v>21</v>
      </c>
      <c r="C27" s="27" t="s">
        <v>103</v>
      </c>
      <c r="D27" s="27" t="s">
        <v>90</v>
      </c>
      <c r="E27" s="27" t="s">
        <v>482</v>
      </c>
      <c r="F27" s="27" t="s">
        <v>25</v>
      </c>
      <c r="G27" s="28">
        <v>32000</v>
      </c>
      <c r="H27" s="28" t="s">
        <v>41</v>
      </c>
      <c r="I27" s="27" t="s">
        <v>174</v>
      </c>
      <c r="J27" s="27" t="s">
        <v>504</v>
      </c>
      <c r="K27" s="27" t="s">
        <v>496</v>
      </c>
      <c r="L27" s="27" t="s">
        <v>175</v>
      </c>
      <c r="M27" s="26" t="s">
        <v>142</v>
      </c>
      <c r="N27" s="26" t="s">
        <v>142</v>
      </c>
      <c r="O27" s="26" t="s">
        <v>85</v>
      </c>
      <c r="P27" s="26" t="s">
        <v>39</v>
      </c>
      <c r="Q27" s="29" t="s">
        <v>156</v>
      </c>
      <c r="R27" s="27" t="s">
        <v>46</v>
      </c>
      <c r="S27" s="29">
        <v>6000</v>
      </c>
      <c r="T27" s="26">
        <v>2024</v>
      </c>
      <c r="U27" s="30">
        <v>202410</v>
      </c>
      <c r="V27" s="31">
        <v>45596</v>
      </c>
      <c r="W27" s="27" t="s">
        <v>157</v>
      </c>
      <c r="X27" s="26" t="s">
        <v>158</v>
      </c>
    </row>
    <row r="28" spans="1:24" x14ac:dyDescent="0.15">
      <c r="A28" s="26" t="s">
        <v>176</v>
      </c>
      <c r="B28" s="27" t="s">
        <v>21</v>
      </c>
      <c r="C28" s="27" t="s">
        <v>110</v>
      </c>
      <c r="D28" s="27" t="s">
        <v>90</v>
      </c>
      <c r="E28" s="27" t="s">
        <v>482</v>
      </c>
      <c r="F28" s="27" t="s">
        <v>485</v>
      </c>
      <c r="G28" s="28">
        <v>43000</v>
      </c>
      <c r="H28" s="28" t="s">
        <v>92</v>
      </c>
      <c r="I28" s="27" t="s">
        <v>177</v>
      </c>
      <c r="J28" s="27" t="s">
        <v>505</v>
      </c>
      <c r="K28" s="27" t="s">
        <v>484</v>
      </c>
      <c r="L28" s="27" t="s">
        <v>178</v>
      </c>
      <c r="M28" s="26" t="s">
        <v>29</v>
      </c>
      <c r="N28" s="26" t="s">
        <v>29</v>
      </c>
      <c r="O28" s="26" t="s">
        <v>30</v>
      </c>
      <c r="P28" s="26" t="s">
        <v>166</v>
      </c>
      <c r="Q28" s="29" t="s">
        <v>562</v>
      </c>
      <c r="R28" s="27" t="s">
        <v>61</v>
      </c>
      <c r="S28" s="29">
        <v>4500</v>
      </c>
      <c r="T28" s="26">
        <v>2024</v>
      </c>
      <c r="U28" s="30">
        <v>202411</v>
      </c>
      <c r="V28" s="31">
        <v>45626</v>
      </c>
      <c r="W28" s="27" t="s">
        <v>179</v>
      </c>
      <c r="X28" s="26" t="s">
        <v>158</v>
      </c>
    </row>
    <row r="29" spans="1:24" x14ac:dyDescent="0.15">
      <c r="A29" s="26" t="s">
        <v>180</v>
      </c>
      <c r="B29" s="27" t="s">
        <v>21</v>
      </c>
      <c r="C29" s="27" t="s">
        <v>63</v>
      </c>
      <c r="D29" s="27" t="s">
        <v>23</v>
      </c>
      <c r="E29" s="27" t="s">
        <v>473</v>
      </c>
      <c r="F29" s="27" t="s">
        <v>25</v>
      </c>
      <c r="G29" s="28">
        <v>28000</v>
      </c>
      <c r="H29" s="28" t="s">
        <v>41</v>
      </c>
      <c r="I29" s="27" t="s">
        <v>181</v>
      </c>
      <c r="J29" s="27" t="s">
        <v>506</v>
      </c>
      <c r="K29" s="27" t="s">
        <v>487</v>
      </c>
      <c r="L29" s="27" t="s">
        <v>182</v>
      </c>
      <c r="M29" s="26" t="s">
        <v>183</v>
      </c>
      <c r="N29" s="26" t="s">
        <v>183</v>
      </c>
      <c r="O29" s="26" t="s">
        <v>85</v>
      </c>
      <c r="P29" s="26" t="s">
        <v>166</v>
      </c>
      <c r="Q29" s="29" t="s">
        <v>562</v>
      </c>
      <c r="R29" s="27" t="s">
        <v>46</v>
      </c>
      <c r="S29" s="29">
        <v>3500</v>
      </c>
      <c r="T29" s="26">
        <v>2024</v>
      </c>
      <c r="U29" s="30">
        <v>202411</v>
      </c>
      <c r="V29" s="31">
        <v>45626</v>
      </c>
      <c r="W29" s="27" t="s">
        <v>179</v>
      </c>
      <c r="X29" s="26" t="s">
        <v>158</v>
      </c>
    </row>
    <row r="30" spans="1:24" x14ac:dyDescent="0.15">
      <c r="A30" s="26" t="s">
        <v>184</v>
      </c>
      <c r="B30" s="27" t="s">
        <v>21</v>
      </c>
      <c r="C30" s="27" t="s">
        <v>115</v>
      </c>
      <c r="D30" s="27" t="s">
        <v>23</v>
      </c>
      <c r="E30" s="27" t="s">
        <v>73</v>
      </c>
      <c r="F30" s="27" t="s">
        <v>25</v>
      </c>
      <c r="G30" s="28">
        <v>58500</v>
      </c>
      <c r="H30" s="28" t="s">
        <v>92</v>
      </c>
      <c r="I30" s="27" t="s">
        <v>185</v>
      </c>
      <c r="J30" s="27" t="s">
        <v>507</v>
      </c>
      <c r="K30" s="27" t="s">
        <v>490</v>
      </c>
      <c r="L30" s="27" t="s">
        <v>186</v>
      </c>
      <c r="M30" s="26" t="s">
        <v>76</v>
      </c>
      <c r="N30" s="26" t="s">
        <v>76</v>
      </c>
      <c r="O30" s="26" t="s">
        <v>30</v>
      </c>
      <c r="P30" s="26" t="s">
        <v>118</v>
      </c>
      <c r="Q30" s="29" t="s">
        <v>562</v>
      </c>
      <c r="R30" s="27" t="s">
        <v>124</v>
      </c>
      <c r="S30" s="29">
        <v>6000</v>
      </c>
      <c r="T30" s="26">
        <v>2023</v>
      </c>
      <c r="U30" s="30">
        <v>202411</v>
      </c>
      <c r="V30" s="31">
        <v>45626</v>
      </c>
      <c r="W30" s="27" t="s">
        <v>179</v>
      </c>
      <c r="X30" s="26" t="s">
        <v>158</v>
      </c>
    </row>
    <row r="31" spans="1:24" x14ac:dyDescent="0.15">
      <c r="A31" s="26" t="s">
        <v>187</v>
      </c>
      <c r="B31" s="27" t="s">
        <v>21</v>
      </c>
      <c r="C31" s="27" t="s">
        <v>63</v>
      </c>
      <c r="D31" s="27" t="s">
        <v>23</v>
      </c>
      <c r="E31" s="27" t="s">
        <v>473</v>
      </c>
      <c r="F31" s="27" t="s">
        <v>25</v>
      </c>
      <c r="G31" s="28">
        <v>28000</v>
      </c>
      <c r="H31" s="28" t="s">
        <v>41</v>
      </c>
      <c r="I31" s="27" t="s">
        <v>188</v>
      </c>
      <c r="J31" s="27" t="s">
        <v>508</v>
      </c>
      <c r="K31" s="27" t="s">
        <v>33</v>
      </c>
      <c r="L31" s="27" t="s">
        <v>189</v>
      </c>
      <c r="M31" s="26" t="s">
        <v>183</v>
      </c>
      <c r="N31" s="26" t="s">
        <v>183</v>
      </c>
      <c r="O31" s="26" t="s">
        <v>85</v>
      </c>
      <c r="P31" s="26" t="s">
        <v>31</v>
      </c>
      <c r="Q31" s="29" t="s">
        <v>190</v>
      </c>
      <c r="R31" s="27" t="s">
        <v>54</v>
      </c>
      <c r="S31" s="29">
        <v>4000</v>
      </c>
      <c r="T31" s="26">
        <v>2024</v>
      </c>
      <c r="U31" s="30">
        <v>202411</v>
      </c>
      <c r="V31" s="31">
        <v>45626</v>
      </c>
      <c r="W31" s="27" t="s">
        <v>179</v>
      </c>
      <c r="X31" s="26" t="s">
        <v>158</v>
      </c>
    </row>
    <row r="32" spans="1:24" x14ac:dyDescent="0.15">
      <c r="A32" s="26" t="s">
        <v>191</v>
      </c>
      <c r="B32" s="27" t="s">
        <v>21</v>
      </c>
      <c r="C32" s="27" t="s">
        <v>110</v>
      </c>
      <c r="D32" s="27" t="s">
        <v>90</v>
      </c>
      <c r="E32" s="27" t="s">
        <v>482</v>
      </c>
      <c r="F32" s="27" t="s">
        <v>485</v>
      </c>
      <c r="G32" s="28">
        <v>43000</v>
      </c>
      <c r="H32" s="28" t="s">
        <v>92</v>
      </c>
      <c r="I32" s="27" t="s">
        <v>192</v>
      </c>
      <c r="J32" s="27" t="s">
        <v>509</v>
      </c>
      <c r="K32" s="27" t="s">
        <v>477</v>
      </c>
      <c r="L32" s="27" t="s">
        <v>193</v>
      </c>
      <c r="M32" s="26" t="s">
        <v>142</v>
      </c>
      <c r="N32" s="26" t="s">
        <v>142</v>
      </c>
      <c r="O32" s="26" t="s">
        <v>85</v>
      </c>
      <c r="P32" s="26" t="s">
        <v>31</v>
      </c>
      <c r="Q32" s="29" t="s">
        <v>95</v>
      </c>
      <c r="R32" s="27" t="s">
        <v>46</v>
      </c>
      <c r="S32" s="29">
        <v>8000</v>
      </c>
      <c r="T32" s="26">
        <v>2023</v>
      </c>
      <c r="U32" s="30">
        <v>202411</v>
      </c>
      <c r="V32" s="31">
        <v>45626</v>
      </c>
      <c r="W32" s="27" t="s">
        <v>179</v>
      </c>
      <c r="X32" s="26" t="s">
        <v>158</v>
      </c>
    </row>
    <row r="33" spans="1:24" x14ac:dyDescent="0.15">
      <c r="A33" s="26" t="s">
        <v>194</v>
      </c>
      <c r="B33" s="27" t="s">
        <v>21</v>
      </c>
      <c r="C33" s="27" t="s">
        <v>115</v>
      </c>
      <c r="D33" s="27" t="s">
        <v>23</v>
      </c>
      <c r="E33" s="27" t="s">
        <v>73</v>
      </c>
      <c r="F33" s="27" t="s">
        <v>25</v>
      </c>
      <c r="G33" s="28">
        <v>58500</v>
      </c>
      <c r="H33" s="28" t="s">
        <v>92</v>
      </c>
      <c r="I33" s="27" t="s">
        <v>195</v>
      </c>
      <c r="J33" s="27" t="s">
        <v>510</v>
      </c>
      <c r="K33" s="27" t="s">
        <v>493</v>
      </c>
      <c r="L33" s="27" t="s">
        <v>196</v>
      </c>
      <c r="M33" s="26" t="s">
        <v>29</v>
      </c>
      <c r="N33" s="26" t="s">
        <v>29</v>
      </c>
      <c r="O33" s="26" t="s">
        <v>30</v>
      </c>
      <c r="P33" s="26" t="s">
        <v>118</v>
      </c>
      <c r="Q33" s="29" t="s">
        <v>562</v>
      </c>
      <c r="R33" s="27" t="s">
        <v>61</v>
      </c>
      <c r="S33" s="29">
        <v>3000</v>
      </c>
      <c r="T33" s="26">
        <v>2024</v>
      </c>
      <c r="U33" s="30">
        <v>202412</v>
      </c>
      <c r="V33" s="31">
        <v>45657</v>
      </c>
      <c r="W33" s="27" t="s">
        <v>197</v>
      </c>
      <c r="X33" s="26" t="s">
        <v>158</v>
      </c>
    </row>
    <row r="34" spans="1:24" x14ac:dyDescent="0.15">
      <c r="A34" s="26" t="s">
        <v>198</v>
      </c>
      <c r="B34" s="27" t="s">
        <v>21</v>
      </c>
      <c r="C34" s="27" t="s">
        <v>103</v>
      </c>
      <c r="D34" s="27" t="s">
        <v>90</v>
      </c>
      <c r="E34" s="27" t="s">
        <v>482</v>
      </c>
      <c r="F34" s="27" t="s">
        <v>25</v>
      </c>
      <c r="G34" s="28">
        <v>32000</v>
      </c>
      <c r="H34" s="28" t="s">
        <v>41</v>
      </c>
      <c r="I34" s="27" t="s">
        <v>199</v>
      </c>
      <c r="J34" s="27" t="s">
        <v>511</v>
      </c>
      <c r="K34" s="27" t="s">
        <v>472</v>
      </c>
      <c r="L34" s="27" t="s">
        <v>200</v>
      </c>
      <c r="M34" s="26" t="s">
        <v>44</v>
      </c>
      <c r="N34" s="26" t="s">
        <v>44</v>
      </c>
      <c r="O34" s="26" t="s">
        <v>30</v>
      </c>
      <c r="P34" s="26" t="s">
        <v>31</v>
      </c>
      <c r="Q34" s="29" t="s">
        <v>201</v>
      </c>
      <c r="R34" s="27" t="s">
        <v>54</v>
      </c>
      <c r="S34" s="29">
        <v>3500</v>
      </c>
      <c r="T34" s="26">
        <v>2024</v>
      </c>
      <c r="U34" s="30">
        <v>202412</v>
      </c>
      <c r="V34" s="31">
        <v>45657</v>
      </c>
      <c r="W34" s="27" t="s">
        <v>197</v>
      </c>
      <c r="X34" s="26" t="s">
        <v>158</v>
      </c>
    </row>
    <row r="35" spans="1:24" x14ac:dyDescent="0.15">
      <c r="A35" s="26" t="s">
        <v>202</v>
      </c>
      <c r="B35" s="27" t="s">
        <v>21</v>
      </c>
      <c r="C35" s="27" t="s">
        <v>63</v>
      </c>
      <c r="D35" s="27" t="s">
        <v>23</v>
      </c>
      <c r="E35" s="27" t="s">
        <v>473</v>
      </c>
      <c r="F35" s="27" t="s">
        <v>25</v>
      </c>
      <c r="G35" s="28">
        <v>28000</v>
      </c>
      <c r="H35" s="28" t="s">
        <v>41</v>
      </c>
      <c r="I35" s="27" t="s">
        <v>203</v>
      </c>
      <c r="J35" s="27" t="s">
        <v>512</v>
      </c>
      <c r="K35" s="27" t="s">
        <v>496</v>
      </c>
      <c r="L35" s="27" t="s">
        <v>204</v>
      </c>
      <c r="M35" s="26" t="s">
        <v>142</v>
      </c>
      <c r="N35" s="26" t="s">
        <v>142</v>
      </c>
      <c r="O35" s="26" t="s">
        <v>85</v>
      </c>
      <c r="P35" s="26" t="s">
        <v>31</v>
      </c>
      <c r="Q35" s="29" t="s">
        <v>205</v>
      </c>
      <c r="R35" s="27" t="s">
        <v>101</v>
      </c>
      <c r="S35" s="29">
        <v>5000</v>
      </c>
      <c r="T35" s="26">
        <v>2024</v>
      </c>
      <c r="U35" s="30">
        <v>202412</v>
      </c>
      <c r="V35" s="31">
        <v>45657</v>
      </c>
      <c r="W35" s="27" t="s">
        <v>197</v>
      </c>
      <c r="X35" s="26" t="s">
        <v>158</v>
      </c>
    </row>
    <row r="36" spans="1:24" x14ac:dyDescent="0.15">
      <c r="A36" s="26" t="s">
        <v>206</v>
      </c>
      <c r="B36" s="27" t="s">
        <v>207</v>
      </c>
      <c r="C36" s="27" t="s">
        <v>208</v>
      </c>
      <c r="D36" s="27" t="s">
        <v>23</v>
      </c>
      <c r="E36" s="27" t="s">
        <v>464</v>
      </c>
      <c r="F36" s="27" t="s">
        <v>25</v>
      </c>
      <c r="G36" s="28">
        <v>24500</v>
      </c>
      <c r="H36" s="28" t="s">
        <v>26</v>
      </c>
      <c r="I36" s="27" t="s">
        <v>209</v>
      </c>
      <c r="J36" s="27" t="s">
        <v>513</v>
      </c>
      <c r="K36" s="27" t="s">
        <v>514</v>
      </c>
      <c r="L36" s="27" t="s">
        <v>210</v>
      </c>
      <c r="M36" s="26" t="s">
        <v>147</v>
      </c>
      <c r="N36" s="26" t="s">
        <v>147</v>
      </c>
      <c r="O36" s="26" t="s">
        <v>52</v>
      </c>
      <c r="P36" s="26" t="s">
        <v>31</v>
      </c>
      <c r="Q36" s="29" t="s">
        <v>53</v>
      </c>
      <c r="R36" s="27" t="s">
        <v>61</v>
      </c>
      <c r="S36" s="29">
        <v>15000</v>
      </c>
      <c r="T36" s="26">
        <v>2021</v>
      </c>
      <c r="U36" s="30">
        <v>202401</v>
      </c>
      <c r="V36" s="31">
        <v>45322</v>
      </c>
      <c r="W36" s="27" t="s">
        <v>34</v>
      </c>
      <c r="X36" s="26" t="s">
        <v>35</v>
      </c>
    </row>
    <row r="37" spans="1:24" x14ac:dyDescent="0.15">
      <c r="A37" s="26" t="s">
        <v>211</v>
      </c>
      <c r="B37" s="27" t="s">
        <v>212</v>
      </c>
      <c r="C37" s="27" t="s">
        <v>213</v>
      </c>
      <c r="D37" s="27" t="s">
        <v>23</v>
      </c>
      <c r="E37" s="27" t="s">
        <v>73</v>
      </c>
      <c r="F37" s="27" t="s">
        <v>25</v>
      </c>
      <c r="G37" s="28">
        <v>26800</v>
      </c>
      <c r="H37" s="28" t="s">
        <v>41</v>
      </c>
      <c r="I37" s="27" t="s">
        <v>214</v>
      </c>
      <c r="J37" s="27" t="s">
        <v>515</v>
      </c>
      <c r="K37" s="27" t="s">
        <v>516</v>
      </c>
      <c r="L37" s="27" t="s">
        <v>215</v>
      </c>
      <c r="N37" s="26" t="s">
        <v>562</v>
      </c>
      <c r="O37" s="26" t="s">
        <v>52</v>
      </c>
      <c r="P37" s="26" t="s">
        <v>31</v>
      </c>
      <c r="Q37" s="29" t="s">
        <v>60</v>
      </c>
      <c r="R37" s="27" t="s">
        <v>54</v>
      </c>
      <c r="S37" s="29">
        <v>22000</v>
      </c>
      <c r="T37" s="26">
        <v>2020</v>
      </c>
      <c r="U37" s="30">
        <v>202402</v>
      </c>
      <c r="V37" s="31">
        <v>45351</v>
      </c>
      <c r="W37" s="27" t="s">
        <v>47</v>
      </c>
      <c r="X37" s="26" t="s">
        <v>35</v>
      </c>
    </row>
    <row r="38" spans="1:24" x14ac:dyDescent="0.15">
      <c r="A38" s="26" t="s">
        <v>216</v>
      </c>
      <c r="B38" s="27" t="s">
        <v>217</v>
      </c>
      <c r="C38" s="27" t="s">
        <v>218</v>
      </c>
      <c r="D38" s="27" t="s">
        <v>23</v>
      </c>
      <c r="E38" s="27" t="s">
        <v>464</v>
      </c>
      <c r="F38" s="27" t="s">
        <v>25</v>
      </c>
      <c r="G38" s="28">
        <v>22900</v>
      </c>
      <c r="H38" s="28" t="s">
        <v>26</v>
      </c>
      <c r="I38" s="27" t="s">
        <v>219</v>
      </c>
      <c r="J38" s="27" t="s">
        <v>517</v>
      </c>
      <c r="K38" s="27" t="s">
        <v>518</v>
      </c>
      <c r="L38" s="27" t="s">
        <v>220</v>
      </c>
      <c r="M38" s="26" t="s">
        <v>44</v>
      </c>
      <c r="N38" s="26" t="s">
        <v>44</v>
      </c>
      <c r="O38" s="26" t="s">
        <v>30</v>
      </c>
      <c r="P38" s="26" t="s">
        <v>31</v>
      </c>
      <c r="Q38" s="29" t="s">
        <v>156</v>
      </c>
      <c r="R38" s="27" t="s">
        <v>70</v>
      </c>
      <c r="S38" s="29">
        <v>12000</v>
      </c>
      <c r="T38" s="26">
        <v>2022</v>
      </c>
      <c r="U38" s="30">
        <v>202402</v>
      </c>
      <c r="V38" s="31">
        <v>45351</v>
      </c>
      <c r="W38" s="27" t="s">
        <v>47</v>
      </c>
      <c r="X38" s="26" t="s">
        <v>35</v>
      </c>
    </row>
    <row r="39" spans="1:24" x14ac:dyDescent="0.15">
      <c r="A39" s="26" t="s">
        <v>221</v>
      </c>
      <c r="B39" s="27" t="s">
        <v>222</v>
      </c>
      <c r="C39" s="27" t="s">
        <v>223</v>
      </c>
      <c r="D39" s="27" t="s">
        <v>90</v>
      </c>
      <c r="E39" s="27" t="s">
        <v>91</v>
      </c>
      <c r="F39" s="27" t="s">
        <v>25</v>
      </c>
      <c r="G39" s="28">
        <v>38900</v>
      </c>
      <c r="H39" s="28" t="s">
        <v>41</v>
      </c>
      <c r="I39" s="27" t="s">
        <v>224</v>
      </c>
      <c r="J39" s="27" t="s">
        <v>499</v>
      </c>
      <c r="K39" s="27" t="s">
        <v>519</v>
      </c>
      <c r="L39" s="27" t="s">
        <v>225</v>
      </c>
      <c r="M39" s="26" t="s">
        <v>142</v>
      </c>
      <c r="N39" s="26" t="s">
        <v>142</v>
      </c>
      <c r="O39" s="26" t="s">
        <v>85</v>
      </c>
      <c r="P39" s="26" t="s">
        <v>31</v>
      </c>
      <c r="Q39" s="29" t="s">
        <v>86</v>
      </c>
      <c r="R39" s="27" t="s">
        <v>101</v>
      </c>
      <c r="S39" s="29">
        <v>35000</v>
      </c>
      <c r="T39" s="26">
        <v>2020</v>
      </c>
      <c r="U39" s="30">
        <v>202402</v>
      </c>
      <c r="V39" s="31">
        <v>45351</v>
      </c>
      <c r="W39" s="27" t="s">
        <v>47</v>
      </c>
      <c r="X39" s="26" t="s">
        <v>35</v>
      </c>
    </row>
    <row r="40" spans="1:24" x14ac:dyDescent="0.15">
      <c r="A40" s="26" t="s">
        <v>226</v>
      </c>
      <c r="B40" s="27" t="s">
        <v>227</v>
      </c>
      <c r="C40" s="27" t="s">
        <v>228</v>
      </c>
      <c r="D40" s="27" t="s">
        <v>23</v>
      </c>
      <c r="E40" s="27" t="s">
        <v>73</v>
      </c>
      <c r="F40" s="27" t="s">
        <v>485</v>
      </c>
      <c r="G40" s="28">
        <v>89500</v>
      </c>
      <c r="H40" s="28" t="s">
        <v>229</v>
      </c>
      <c r="I40" s="27" t="s">
        <v>230</v>
      </c>
      <c r="J40" s="27" t="s">
        <v>520</v>
      </c>
      <c r="K40" s="27" t="s">
        <v>521</v>
      </c>
      <c r="L40" s="27" t="s">
        <v>231</v>
      </c>
      <c r="M40" s="26" t="s">
        <v>165</v>
      </c>
      <c r="N40" s="26" t="s">
        <v>165</v>
      </c>
      <c r="O40" s="26" t="s">
        <v>30</v>
      </c>
      <c r="P40" s="26" t="s">
        <v>166</v>
      </c>
      <c r="Q40" s="29" t="s">
        <v>562</v>
      </c>
      <c r="R40" s="27" t="s">
        <v>70</v>
      </c>
      <c r="S40" s="29">
        <v>8000</v>
      </c>
      <c r="T40" s="26">
        <v>2023</v>
      </c>
      <c r="U40" s="30">
        <v>202403</v>
      </c>
      <c r="V40" s="31">
        <v>45382</v>
      </c>
      <c r="W40" s="27" t="s">
        <v>55</v>
      </c>
      <c r="X40" s="26" t="s">
        <v>35</v>
      </c>
    </row>
    <row r="41" spans="1:24" x14ac:dyDescent="0.15">
      <c r="A41" s="26" t="s">
        <v>232</v>
      </c>
      <c r="B41" s="27" t="s">
        <v>212</v>
      </c>
      <c r="C41" s="27" t="s">
        <v>213</v>
      </c>
      <c r="D41" s="27" t="s">
        <v>23</v>
      </c>
      <c r="E41" s="27" t="s">
        <v>73</v>
      </c>
      <c r="F41" s="27" t="s">
        <v>25</v>
      </c>
      <c r="G41" s="28">
        <v>27500</v>
      </c>
      <c r="H41" s="28" t="s">
        <v>41</v>
      </c>
      <c r="I41" s="27" t="s">
        <v>233</v>
      </c>
      <c r="J41" s="27" t="s">
        <v>522</v>
      </c>
      <c r="K41" s="27" t="s">
        <v>496</v>
      </c>
      <c r="L41" s="27" t="s">
        <v>234</v>
      </c>
      <c r="M41" s="26" t="s">
        <v>183</v>
      </c>
      <c r="N41" s="26" t="s">
        <v>183</v>
      </c>
      <c r="O41" s="26" t="s">
        <v>85</v>
      </c>
      <c r="P41" s="26" t="s">
        <v>31</v>
      </c>
      <c r="Q41" s="29" t="s">
        <v>60</v>
      </c>
      <c r="R41" s="27" t="s">
        <v>562</v>
      </c>
      <c r="S41" s="29">
        <v>26000</v>
      </c>
      <c r="T41" s="26">
        <v>2020</v>
      </c>
      <c r="U41" s="30">
        <v>202403</v>
      </c>
      <c r="V41" s="31">
        <v>45382</v>
      </c>
      <c r="W41" s="27" t="s">
        <v>55</v>
      </c>
      <c r="X41" s="26" t="s">
        <v>35</v>
      </c>
    </row>
    <row r="42" spans="1:24" x14ac:dyDescent="0.15">
      <c r="A42" s="26" t="s">
        <v>235</v>
      </c>
      <c r="B42" s="27" t="s">
        <v>222</v>
      </c>
      <c r="C42" s="27" t="s">
        <v>223</v>
      </c>
      <c r="D42" s="27" t="s">
        <v>90</v>
      </c>
      <c r="E42" s="27" t="s">
        <v>91</v>
      </c>
      <c r="F42" s="27" t="s">
        <v>25</v>
      </c>
      <c r="G42" s="28">
        <v>41200</v>
      </c>
      <c r="H42" s="28" t="s">
        <v>92</v>
      </c>
      <c r="I42" s="27" t="s">
        <v>236</v>
      </c>
      <c r="J42" s="27" t="s">
        <v>523</v>
      </c>
      <c r="K42" s="27" t="s">
        <v>33</v>
      </c>
      <c r="L42" s="27" t="s">
        <v>237</v>
      </c>
      <c r="M42" s="26" t="s">
        <v>84</v>
      </c>
      <c r="N42" s="26" t="s">
        <v>84</v>
      </c>
      <c r="O42" s="26" t="s">
        <v>85</v>
      </c>
      <c r="P42" s="26" t="s">
        <v>31</v>
      </c>
      <c r="Q42" s="29" t="s">
        <v>86</v>
      </c>
      <c r="R42" s="27" t="s">
        <v>46</v>
      </c>
      <c r="S42" s="29">
        <v>29000</v>
      </c>
      <c r="T42" s="26">
        <v>2020</v>
      </c>
      <c r="U42" s="30">
        <v>202403</v>
      </c>
      <c r="V42" s="31">
        <v>45382</v>
      </c>
      <c r="W42" s="27" t="s">
        <v>55</v>
      </c>
      <c r="X42" s="26" t="s">
        <v>35</v>
      </c>
    </row>
    <row r="43" spans="1:24" x14ac:dyDescent="0.15">
      <c r="A43" s="26" t="s">
        <v>238</v>
      </c>
      <c r="B43" s="27" t="s">
        <v>217</v>
      </c>
      <c r="C43" s="27" t="s">
        <v>239</v>
      </c>
      <c r="D43" s="27" t="s">
        <v>23</v>
      </c>
      <c r="E43" s="27" t="s">
        <v>464</v>
      </c>
      <c r="F43" s="27" t="s">
        <v>25</v>
      </c>
      <c r="G43" s="28">
        <v>18900</v>
      </c>
      <c r="H43" s="28" t="s">
        <v>26</v>
      </c>
      <c r="I43" s="27" t="s">
        <v>240</v>
      </c>
      <c r="J43" s="27" t="s">
        <v>524</v>
      </c>
      <c r="K43" s="27" t="s">
        <v>487</v>
      </c>
      <c r="L43" s="27" t="s">
        <v>241</v>
      </c>
      <c r="M43" s="26" t="s">
        <v>44</v>
      </c>
      <c r="N43" s="26" t="s">
        <v>44</v>
      </c>
      <c r="O43" s="26" t="s">
        <v>30</v>
      </c>
      <c r="P43" s="26" t="s">
        <v>31</v>
      </c>
      <c r="Q43" s="29" t="s">
        <v>242</v>
      </c>
      <c r="R43" s="27" t="s">
        <v>70</v>
      </c>
      <c r="S43" s="29">
        <v>14000</v>
      </c>
      <c r="T43" s="26">
        <v>2022</v>
      </c>
      <c r="U43" s="30">
        <v>202407</v>
      </c>
      <c r="V43" s="31">
        <v>45504</v>
      </c>
      <c r="W43" s="27" t="s">
        <v>78</v>
      </c>
      <c r="X43" s="26" t="s">
        <v>79</v>
      </c>
    </row>
    <row r="44" spans="1:24" x14ac:dyDescent="0.15">
      <c r="A44" s="26" t="s">
        <v>243</v>
      </c>
      <c r="B44" s="27" t="s">
        <v>244</v>
      </c>
      <c r="C44" s="27" t="s">
        <v>245</v>
      </c>
      <c r="D44" s="27" t="s">
        <v>23</v>
      </c>
      <c r="E44" s="27" t="s">
        <v>73</v>
      </c>
      <c r="F44" s="27" t="s">
        <v>485</v>
      </c>
      <c r="G44" s="28">
        <v>89900</v>
      </c>
      <c r="H44" s="28" t="s">
        <v>229</v>
      </c>
      <c r="I44" s="27" t="s">
        <v>246</v>
      </c>
      <c r="J44" s="27" t="s">
        <v>525</v>
      </c>
      <c r="K44" s="27" t="s">
        <v>468</v>
      </c>
      <c r="L44" s="27" t="s">
        <v>247</v>
      </c>
      <c r="M44" s="26" t="s">
        <v>248</v>
      </c>
      <c r="N44" s="26" t="s">
        <v>248</v>
      </c>
      <c r="O44" s="26" t="s">
        <v>52</v>
      </c>
      <c r="P44" s="26" t="s">
        <v>31</v>
      </c>
      <c r="Q44" s="29" t="s">
        <v>190</v>
      </c>
      <c r="R44" s="27" t="s">
        <v>101</v>
      </c>
      <c r="S44" s="29">
        <v>26000</v>
      </c>
      <c r="T44" s="26">
        <v>2020</v>
      </c>
      <c r="U44" s="30">
        <v>202407</v>
      </c>
      <c r="V44" s="31">
        <v>45504</v>
      </c>
      <c r="W44" s="27" t="s">
        <v>78</v>
      </c>
      <c r="X44" s="26" t="s">
        <v>79</v>
      </c>
    </row>
    <row r="45" spans="1:24" x14ac:dyDescent="0.15">
      <c r="A45" s="26" t="s">
        <v>249</v>
      </c>
      <c r="B45" s="27" t="s">
        <v>212</v>
      </c>
      <c r="C45" s="27" t="s">
        <v>250</v>
      </c>
      <c r="D45" s="27" t="s">
        <v>90</v>
      </c>
      <c r="E45" s="27" t="s">
        <v>91</v>
      </c>
      <c r="F45" s="27" t="s">
        <v>25</v>
      </c>
      <c r="G45" s="28">
        <v>51200</v>
      </c>
      <c r="H45" s="28" t="s">
        <v>92</v>
      </c>
      <c r="I45" s="27" t="s">
        <v>251</v>
      </c>
      <c r="J45" s="27" t="s">
        <v>526</v>
      </c>
      <c r="K45" s="27" t="s">
        <v>496</v>
      </c>
      <c r="L45" s="27" t="s">
        <v>252</v>
      </c>
      <c r="M45" s="26" t="s">
        <v>183</v>
      </c>
      <c r="N45" s="26" t="s">
        <v>183</v>
      </c>
      <c r="O45" s="26" t="s">
        <v>85</v>
      </c>
      <c r="P45" s="26" t="s">
        <v>31</v>
      </c>
      <c r="Q45" s="29" t="s">
        <v>253</v>
      </c>
      <c r="R45" s="27" t="s">
        <v>61</v>
      </c>
      <c r="S45" s="29">
        <v>30000</v>
      </c>
      <c r="T45" s="26">
        <v>2020</v>
      </c>
      <c r="U45" s="30">
        <v>202407</v>
      </c>
      <c r="V45" s="31">
        <v>45504</v>
      </c>
      <c r="W45" s="27" t="s">
        <v>78</v>
      </c>
      <c r="X45" s="26" t="s">
        <v>79</v>
      </c>
    </row>
    <row r="46" spans="1:24" x14ac:dyDescent="0.15">
      <c r="A46" s="26" t="s">
        <v>254</v>
      </c>
      <c r="B46" s="27" t="s">
        <v>255</v>
      </c>
      <c r="C46" s="27" t="s">
        <v>256</v>
      </c>
      <c r="D46" s="27" t="s">
        <v>90</v>
      </c>
      <c r="E46" s="27" t="s">
        <v>91</v>
      </c>
      <c r="F46" s="27" t="s">
        <v>25</v>
      </c>
      <c r="G46" s="28">
        <v>38900</v>
      </c>
      <c r="H46" s="28" t="s">
        <v>41</v>
      </c>
      <c r="I46" s="27" t="s">
        <v>257</v>
      </c>
      <c r="J46" s="27" t="s">
        <v>527</v>
      </c>
      <c r="K46" s="27" t="s">
        <v>33</v>
      </c>
      <c r="L46" s="27" t="s">
        <v>258</v>
      </c>
      <c r="M46" s="26" t="s">
        <v>67</v>
      </c>
      <c r="N46" s="26" t="s">
        <v>67</v>
      </c>
      <c r="O46" s="26" t="s">
        <v>68</v>
      </c>
      <c r="P46" s="26" t="s">
        <v>31</v>
      </c>
      <c r="Q46" s="29" t="s">
        <v>259</v>
      </c>
      <c r="R46" s="27" t="s">
        <v>143</v>
      </c>
      <c r="S46" s="29">
        <v>9000</v>
      </c>
      <c r="T46" s="26">
        <v>2023</v>
      </c>
      <c r="U46" s="30">
        <v>202407</v>
      </c>
      <c r="V46" s="31">
        <v>45504</v>
      </c>
      <c r="W46" s="27" t="s">
        <v>78</v>
      </c>
      <c r="X46" s="26" t="s">
        <v>79</v>
      </c>
    </row>
    <row r="47" spans="1:24" x14ac:dyDescent="0.15">
      <c r="A47" s="26" t="s">
        <v>260</v>
      </c>
      <c r="B47" s="27" t="s">
        <v>244</v>
      </c>
      <c r="C47" s="27" t="s">
        <v>261</v>
      </c>
      <c r="D47" s="27" t="s">
        <v>262</v>
      </c>
      <c r="E47" s="27" t="s">
        <v>263</v>
      </c>
      <c r="F47" s="27" t="s">
        <v>485</v>
      </c>
      <c r="G47" s="28">
        <v>99900</v>
      </c>
      <c r="H47" s="28" t="s">
        <v>264</v>
      </c>
      <c r="I47" s="27" t="s">
        <v>265</v>
      </c>
      <c r="J47" s="27" t="s">
        <v>528</v>
      </c>
      <c r="K47" s="27" t="s">
        <v>477</v>
      </c>
      <c r="L47" s="27" t="s">
        <v>266</v>
      </c>
      <c r="M47" s="26" t="s">
        <v>248</v>
      </c>
      <c r="N47" s="26" t="s">
        <v>248</v>
      </c>
      <c r="O47" s="26" t="s">
        <v>52</v>
      </c>
      <c r="P47" s="26" t="s">
        <v>31</v>
      </c>
      <c r="Q47" s="29" t="s">
        <v>190</v>
      </c>
      <c r="R47" s="27" t="s">
        <v>61</v>
      </c>
      <c r="S47" s="29">
        <v>18000</v>
      </c>
      <c r="T47" s="26">
        <v>2022</v>
      </c>
      <c r="U47" s="30">
        <v>202407</v>
      </c>
      <c r="V47" s="31">
        <v>45504</v>
      </c>
      <c r="W47" s="27" t="s">
        <v>78</v>
      </c>
      <c r="X47" s="26" t="s">
        <v>79</v>
      </c>
    </row>
    <row r="48" spans="1:24" x14ac:dyDescent="0.15">
      <c r="A48" s="26" t="s">
        <v>267</v>
      </c>
      <c r="B48" s="27" t="s">
        <v>222</v>
      </c>
      <c r="C48" s="27" t="s">
        <v>268</v>
      </c>
      <c r="D48" s="27" t="s">
        <v>90</v>
      </c>
      <c r="E48" s="27" t="s">
        <v>91</v>
      </c>
      <c r="F48" s="27" t="s">
        <v>25</v>
      </c>
      <c r="G48" s="28">
        <v>22900</v>
      </c>
      <c r="H48" s="28" t="s">
        <v>26</v>
      </c>
      <c r="I48" s="27" t="s">
        <v>269</v>
      </c>
      <c r="J48" s="27" t="s">
        <v>529</v>
      </c>
      <c r="K48" s="27" t="s">
        <v>477</v>
      </c>
      <c r="L48" s="27" t="s">
        <v>270</v>
      </c>
      <c r="M48" s="26" t="s">
        <v>142</v>
      </c>
      <c r="N48" s="26" t="s">
        <v>142</v>
      </c>
      <c r="O48" s="26" t="s">
        <v>85</v>
      </c>
      <c r="P48" s="26" t="s">
        <v>31</v>
      </c>
      <c r="Q48" s="29" t="s">
        <v>271</v>
      </c>
      <c r="R48" s="27" t="s">
        <v>54</v>
      </c>
      <c r="S48" s="29">
        <v>45000</v>
      </c>
      <c r="T48" s="26">
        <v>2016</v>
      </c>
      <c r="U48" s="30">
        <v>202408</v>
      </c>
      <c r="V48" s="31">
        <v>45535</v>
      </c>
      <c r="W48" s="27" t="s">
        <v>108</v>
      </c>
      <c r="X48" s="26" t="s">
        <v>79</v>
      </c>
    </row>
    <row r="49" spans="1:24" x14ac:dyDescent="0.15">
      <c r="A49" s="26" t="s">
        <v>272</v>
      </c>
      <c r="B49" s="27" t="s">
        <v>273</v>
      </c>
      <c r="C49" s="27" t="s">
        <v>274</v>
      </c>
      <c r="D49" s="27" t="s">
        <v>90</v>
      </c>
      <c r="E49" s="27" t="s">
        <v>91</v>
      </c>
      <c r="F49" s="27" t="s">
        <v>25</v>
      </c>
      <c r="G49" s="28">
        <v>35200</v>
      </c>
      <c r="H49" s="28" t="s">
        <v>41</v>
      </c>
      <c r="I49" s="27" t="s">
        <v>275</v>
      </c>
      <c r="J49" s="27" t="s">
        <v>530</v>
      </c>
      <c r="K49" s="27" t="s">
        <v>33</v>
      </c>
      <c r="L49" s="27" t="s">
        <v>276</v>
      </c>
      <c r="M49" s="26" t="s">
        <v>99</v>
      </c>
      <c r="N49" s="26" t="s">
        <v>99</v>
      </c>
      <c r="O49" s="26" t="s">
        <v>68</v>
      </c>
      <c r="P49" s="26" t="s">
        <v>31</v>
      </c>
      <c r="Q49" s="29" t="s">
        <v>60</v>
      </c>
      <c r="R49" s="27" t="s">
        <v>46</v>
      </c>
      <c r="S49" s="29">
        <v>25000</v>
      </c>
      <c r="T49" s="26">
        <v>2020</v>
      </c>
      <c r="U49" s="30">
        <v>202409</v>
      </c>
      <c r="V49" s="31">
        <v>45565</v>
      </c>
      <c r="W49" s="27" t="s">
        <v>134</v>
      </c>
      <c r="X49" s="26" t="s">
        <v>79</v>
      </c>
    </row>
    <row r="50" spans="1:24" x14ac:dyDescent="0.15">
      <c r="A50" s="26" t="s">
        <v>277</v>
      </c>
      <c r="B50" s="27" t="s">
        <v>255</v>
      </c>
      <c r="C50" s="27" t="s">
        <v>278</v>
      </c>
      <c r="D50" s="27" t="s">
        <v>90</v>
      </c>
      <c r="E50" s="27" t="s">
        <v>91</v>
      </c>
      <c r="F50" s="27" t="s">
        <v>25</v>
      </c>
      <c r="G50" s="28">
        <v>22900</v>
      </c>
      <c r="H50" s="28" t="s">
        <v>26</v>
      </c>
      <c r="I50" s="27" t="s">
        <v>279</v>
      </c>
      <c r="J50" s="27" t="s">
        <v>531</v>
      </c>
      <c r="K50" s="27" t="s">
        <v>493</v>
      </c>
      <c r="L50" s="27" t="s">
        <v>280</v>
      </c>
      <c r="M50" s="26" t="s">
        <v>67</v>
      </c>
      <c r="N50" s="26" t="s">
        <v>67</v>
      </c>
      <c r="O50" s="26" t="s">
        <v>68</v>
      </c>
      <c r="P50" s="26" t="s">
        <v>31</v>
      </c>
      <c r="Q50" s="29" t="s">
        <v>281</v>
      </c>
      <c r="R50" s="27" t="s">
        <v>33</v>
      </c>
      <c r="S50" s="29">
        <v>19000</v>
      </c>
      <c r="T50" s="26">
        <v>2021</v>
      </c>
      <c r="U50" s="30">
        <v>202409</v>
      </c>
      <c r="V50" s="31">
        <v>45565</v>
      </c>
      <c r="W50" s="27" t="s">
        <v>134</v>
      </c>
      <c r="X50" s="26" t="s">
        <v>79</v>
      </c>
    </row>
    <row r="51" spans="1:24" x14ac:dyDescent="0.15">
      <c r="A51" s="26" t="s">
        <v>282</v>
      </c>
      <c r="B51" s="27" t="s">
        <v>222</v>
      </c>
      <c r="C51" s="27" t="s">
        <v>283</v>
      </c>
      <c r="D51" s="27" t="s">
        <v>90</v>
      </c>
      <c r="E51" s="27" t="s">
        <v>91</v>
      </c>
      <c r="F51" s="27" t="s">
        <v>25</v>
      </c>
      <c r="G51" s="28">
        <v>27900</v>
      </c>
      <c r="H51" s="28" t="s">
        <v>41</v>
      </c>
      <c r="I51" s="27" t="s">
        <v>284</v>
      </c>
      <c r="J51" s="27" t="s">
        <v>532</v>
      </c>
      <c r="K51" s="27" t="s">
        <v>477</v>
      </c>
      <c r="L51" s="27" t="s">
        <v>285</v>
      </c>
      <c r="M51" s="26" t="s">
        <v>142</v>
      </c>
      <c r="N51" s="26" t="s">
        <v>142</v>
      </c>
      <c r="O51" s="26" t="s">
        <v>85</v>
      </c>
      <c r="P51" s="26" t="s">
        <v>31</v>
      </c>
      <c r="Q51" s="29" t="s">
        <v>286</v>
      </c>
      <c r="R51" s="27" t="s">
        <v>54</v>
      </c>
      <c r="S51" s="29">
        <v>13000</v>
      </c>
      <c r="T51" s="26">
        <v>2023</v>
      </c>
      <c r="U51" s="30">
        <v>202410</v>
      </c>
      <c r="V51" s="31">
        <v>45596</v>
      </c>
      <c r="W51" s="27" t="s">
        <v>157</v>
      </c>
      <c r="X51" s="26" t="s">
        <v>158</v>
      </c>
    </row>
    <row r="52" spans="1:24" x14ac:dyDescent="0.15">
      <c r="A52" s="26" t="s">
        <v>287</v>
      </c>
      <c r="B52" s="27" t="s">
        <v>273</v>
      </c>
      <c r="C52" s="27" t="s">
        <v>288</v>
      </c>
      <c r="D52" s="27" t="s">
        <v>23</v>
      </c>
      <c r="E52" s="27" t="s">
        <v>73</v>
      </c>
      <c r="F52" s="27" t="s">
        <v>25</v>
      </c>
      <c r="G52" s="28">
        <v>26900</v>
      </c>
      <c r="H52" s="28" t="s">
        <v>41</v>
      </c>
      <c r="I52" s="27" t="s">
        <v>289</v>
      </c>
      <c r="J52" s="27" t="s">
        <v>533</v>
      </c>
      <c r="K52" s="27" t="s">
        <v>33</v>
      </c>
      <c r="L52" s="27" t="s">
        <v>290</v>
      </c>
      <c r="M52" s="26" t="s">
        <v>99</v>
      </c>
      <c r="N52" s="26" t="s">
        <v>99</v>
      </c>
      <c r="O52" s="26" t="s">
        <v>68</v>
      </c>
      <c r="P52" s="26" t="s">
        <v>166</v>
      </c>
      <c r="Q52" s="29" t="s">
        <v>562</v>
      </c>
      <c r="R52" s="27" t="s">
        <v>70</v>
      </c>
      <c r="S52" s="29">
        <v>8000</v>
      </c>
      <c r="T52" s="26">
        <v>2023</v>
      </c>
      <c r="U52" s="30">
        <v>202410</v>
      </c>
      <c r="V52" s="31">
        <v>45596</v>
      </c>
      <c r="W52" s="27" t="s">
        <v>157</v>
      </c>
      <c r="X52" s="26" t="s">
        <v>158</v>
      </c>
    </row>
    <row r="53" spans="1:24" x14ac:dyDescent="0.15">
      <c r="A53" s="26" t="s">
        <v>291</v>
      </c>
      <c r="B53" s="27" t="s">
        <v>217</v>
      </c>
      <c r="C53" s="27" t="s">
        <v>292</v>
      </c>
      <c r="D53" s="27" t="s">
        <v>23</v>
      </c>
      <c r="E53" s="27" t="s">
        <v>73</v>
      </c>
      <c r="F53" s="27" t="s">
        <v>25</v>
      </c>
      <c r="G53" s="28">
        <v>34500</v>
      </c>
      <c r="H53" s="28" t="s">
        <v>41</v>
      </c>
      <c r="I53" s="27" t="s">
        <v>293</v>
      </c>
      <c r="J53" s="27" t="s">
        <v>534</v>
      </c>
      <c r="K53" s="27" t="s">
        <v>475</v>
      </c>
      <c r="L53" s="27" t="s">
        <v>294</v>
      </c>
      <c r="M53" s="26" t="s">
        <v>138</v>
      </c>
      <c r="N53" s="26" t="s">
        <v>138</v>
      </c>
      <c r="O53" s="26" t="s">
        <v>30</v>
      </c>
      <c r="P53" s="26" t="s">
        <v>31</v>
      </c>
      <c r="Q53" s="29" t="s">
        <v>156</v>
      </c>
      <c r="R53" s="27" t="s">
        <v>70</v>
      </c>
      <c r="S53" s="29">
        <v>5000</v>
      </c>
      <c r="T53" s="26">
        <v>2024</v>
      </c>
      <c r="U53" s="30">
        <v>202411</v>
      </c>
      <c r="V53" s="31">
        <v>45626</v>
      </c>
      <c r="W53" s="27" t="s">
        <v>179</v>
      </c>
      <c r="X53" s="26" t="s">
        <v>158</v>
      </c>
    </row>
    <row r="54" spans="1:24" x14ac:dyDescent="0.15">
      <c r="A54" s="26" t="s">
        <v>295</v>
      </c>
      <c r="B54" s="27" t="s">
        <v>255</v>
      </c>
      <c r="C54" s="27" t="s">
        <v>296</v>
      </c>
      <c r="D54" s="27" t="s">
        <v>90</v>
      </c>
      <c r="E54" s="27" t="s">
        <v>91</v>
      </c>
      <c r="F54" s="27" t="s">
        <v>25</v>
      </c>
      <c r="G54" s="28">
        <v>29800</v>
      </c>
      <c r="H54" s="28" t="s">
        <v>41</v>
      </c>
      <c r="I54" s="27" t="s">
        <v>297</v>
      </c>
      <c r="J54" s="27" t="s">
        <v>535</v>
      </c>
      <c r="K54" s="27" t="s">
        <v>484</v>
      </c>
      <c r="L54" s="27" t="s">
        <v>298</v>
      </c>
      <c r="M54" s="26" t="s">
        <v>67</v>
      </c>
      <c r="N54" s="26" t="s">
        <v>67</v>
      </c>
      <c r="O54" s="26" t="s">
        <v>68</v>
      </c>
      <c r="P54" s="26" t="s">
        <v>31</v>
      </c>
      <c r="Q54" s="29" t="s">
        <v>53</v>
      </c>
      <c r="R54" s="27" t="s">
        <v>143</v>
      </c>
      <c r="S54" s="29">
        <v>9000</v>
      </c>
      <c r="T54" s="26">
        <v>2023</v>
      </c>
      <c r="U54" s="30">
        <v>202411</v>
      </c>
      <c r="V54" s="31">
        <v>45626</v>
      </c>
      <c r="W54" s="27" t="s">
        <v>179</v>
      </c>
      <c r="X54" s="26" t="s">
        <v>158</v>
      </c>
    </row>
    <row r="55" spans="1:24" x14ac:dyDescent="0.15">
      <c r="A55" s="26" t="s">
        <v>299</v>
      </c>
      <c r="B55" s="27" t="s">
        <v>244</v>
      </c>
      <c r="C55" s="27" t="s">
        <v>300</v>
      </c>
      <c r="D55" s="27" t="s">
        <v>23</v>
      </c>
      <c r="E55" s="27" t="s">
        <v>73</v>
      </c>
      <c r="F55" s="27" t="s">
        <v>485</v>
      </c>
      <c r="G55" s="28">
        <v>69900</v>
      </c>
      <c r="H55" s="28" t="s">
        <v>229</v>
      </c>
      <c r="I55" s="27" t="s">
        <v>301</v>
      </c>
      <c r="J55" s="27" t="s">
        <v>536</v>
      </c>
      <c r="K55" s="27" t="s">
        <v>479</v>
      </c>
      <c r="L55" s="27" t="s">
        <v>302</v>
      </c>
      <c r="M55" s="26" t="s">
        <v>248</v>
      </c>
      <c r="N55" s="26" t="s">
        <v>248</v>
      </c>
      <c r="O55" s="26" t="s">
        <v>52</v>
      </c>
      <c r="P55" s="26" t="s">
        <v>31</v>
      </c>
      <c r="Q55" s="29" t="s">
        <v>190</v>
      </c>
      <c r="R55" s="27" t="s">
        <v>33</v>
      </c>
      <c r="S55" s="29">
        <v>6000</v>
      </c>
      <c r="T55" s="26">
        <v>2023</v>
      </c>
      <c r="U55" s="30">
        <v>202412</v>
      </c>
      <c r="V55" s="31">
        <v>45657</v>
      </c>
      <c r="W55" s="27" t="s">
        <v>197</v>
      </c>
      <c r="X55" s="26" t="s">
        <v>158</v>
      </c>
    </row>
    <row r="56" spans="1:24" x14ac:dyDescent="0.15">
      <c r="A56" s="26" t="s">
        <v>303</v>
      </c>
      <c r="B56" s="27" t="s">
        <v>212</v>
      </c>
      <c r="C56" s="27" t="s">
        <v>304</v>
      </c>
      <c r="D56" s="27" t="s">
        <v>262</v>
      </c>
      <c r="E56" s="27" t="s">
        <v>305</v>
      </c>
      <c r="F56" s="27" t="s">
        <v>25</v>
      </c>
      <c r="G56" s="28">
        <v>115900</v>
      </c>
      <c r="H56" s="28" t="s">
        <v>264</v>
      </c>
      <c r="I56" s="27" t="s">
        <v>306</v>
      </c>
      <c r="J56" s="27" t="s">
        <v>537</v>
      </c>
      <c r="K56" s="27" t="s">
        <v>519</v>
      </c>
      <c r="L56" s="27" t="s">
        <v>307</v>
      </c>
      <c r="M56" s="26" t="s">
        <v>183</v>
      </c>
      <c r="N56" s="26" t="s">
        <v>183</v>
      </c>
      <c r="O56" s="26" t="s">
        <v>85</v>
      </c>
      <c r="P56" s="26" t="s">
        <v>31</v>
      </c>
      <c r="Q56" s="29" t="s">
        <v>128</v>
      </c>
      <c r="R56" s="27" t="s">
        <v>46</v>
      </c>
      <c r="S56" s="29">
        <v>2500</v>
      </c>
      <c r="T56" s="26">
        <v>2024</v>
      </c>
      <c r="U56" s="30">
        <v>202412</v>
      </c>
      <c r="V56" s="31">
        <v>45657</v>
      </c>
      <c r="W56" s="27" t="s">
        <v>197</v>
      </c>
      <c r="X56" s="26" t="s">
        <v>158</v>
      </c>
    </row>
    <row r="57" spans="1:24" x14ac:dyDescent="0.15">
      <c r="A57" s="26" t="s">
        <v>308</v>
      </c>
      <c r="B57" s="27" t="s">
        <v>222</v>
      </c>
      <c r="C57" s="27" t="s">
        <v>223</v>
      </c>
      <c r="D57" s="27" t="s">
        <v>90</v>
      </c>
      <c r="E57" s="27" t="s">
        <v>91</v>
      </c>
      <c r="F57" s="27" t="s">
        <v>25</v>
      </c>
      <c r="G57" s="28">
        <v>41200</v>
      </c>
      <c r="H57" s="28" t="s">
        <v>92</v>
      </c>
      <c r="I57" s="27" t="s">
        <v>236</v>
      </c>
      <c r="J57" s="27" t="s">
        <v>523</v>
      </c>
      <c r="K57" s="27" t="s">
        <v>33</v>
      </c>
      <c r="L57" s="27" t="s">
        <v>237</v>
      </c>
      <c r="M57" s="26" t="s">
        <v>84</v>
      </c>
      <c r="N57" s="26" t="s">
        <v>84</v>
      </c>
      <c r="O57" s="26" t="s">
        <v>85</v>
      </c>
      <c r="P57" s="26" t="s">
        <v>31</v>
      </c>
      <c r="Q57" s="29" t="s">
        <v>86</v>
      </c>
      <c r="R57" s="27" t="s">
        <v>46</v>
      </c>
      <c r="S57" s="29">
        <v>29000</v>
      </c>
      <c r="T57" s="26">
        <v>2020</v>
      </c>
      <c r="U57" s="30">
        <v>202403</v>
      </c>
      <c r="V57" s="31">
        <v>45382</v>
      </c>
      <c r="W57" s="27" t="s">
        <v>55</v>
      </c>
      <c r="X57" s="26" t="s">
        <v>35</v>
      </c>
    </row>
    <row r="58" spans="1:24" x14ac:dyDescent="0.15">
      <c r="A58" s="26" t="s">
        <v>309</v>
      </c>
      <c r="B58" s="27" t="s">
        <v>255</v>
      </c>
      <c r="C58" s="27" t="s">
        <v>278</v>
      </c>
      <c r="D58" s="27" t="s">
        <v>90</v>
      </c>
      <c r="E58" s="27" t="s">
        <v>91</v>
      </c>
      <c r="F58" s="27" t="s">
        <v>25</v>
      </c>
      <c r="G58" s="28">
        <v>22900</v>
      </c>
      <c r="H58" s="28" t="s">
        <v>26</v>
      </c>
      <c r="I58" s="27" t="s">
        <v>279</v>
      </c>
      <c r="J58" s="27" t="s">
        <v>531</v>
      </c>
      <c r="K58" s="27" t="s">
        <v>493</v>
      </c>
      <c r="L58" s="27" t="s">
        <v>280</v>
      </c>
      <c r="M58" s="26" t="s">
        <v>67</v>
      </c>
      <c r="N58" s="26" t="s">
        <v>67</v>
      </c>
      <c r="O58" s="26" t="s">
        <v>68</v>
      </c>
      <c r="P58" s="26" t="s">
        <v>31</v>
      </c>
      <c r="Q58" s="29" t="s">
        <v>281</v>
      </c>
      <c r="R58" s="27" t="s">
        <v>33</v>
      </c>
      <c r="S58" s="29">
        <v>19000</v>
      </c>
      <c r="T58" s="26">
        <v>2021</v>
      </c>
      <c r="U58" s="30">
        <v>202409</v>
      </c>
      <c r="V58" s="31">
        <v>45565</v>
      </c>
      <c r="W58" s="27" t="s">
        <v>134</v>
      </c>
      <c r="X58" s="26" t="s">
        <v>79</v>
      </c>
    </row>
    <row r="59" spans="1:24" x14ac:dyDescent="0.15">
      <c r="A59" s="26" t="s">
        <v>310</v>
      </c>
      <c r="B59" s="27" t="s">
        <v>212</v>
      </c>
      <c r="C59" s="27" t="s">
        <v>250</v>
      </c>
      <c r="D59" s="27" t="s">
        <v>90</v>
      </c>
      <c r="E59" s="27" t="s">
        <v>91</v>
      </c>
      <c r="F59" s="27" t="s">
        <v>25</v>
      </c>
      <c r="G59" s="28">
        <v>51200</v>
      </c>
      <c r="H59" s="28" t="s">
        <v>92</v>
      </c>
      <c r="I59" s="27" t="s">
        <v>251</v>
      </c>
      <c r="J59" s="27" t="s">
        <v>526</v>
      </c>
      <c r="K59" s="27" t="s">
        <v>496</v>
      </c>
      <c r="L59" s="27" t="s">
        <v>252</v>
      </c>
      <c r="M59" s="26" t="s">
        <v>183</v>
      </c>
      <c r="N59" s="26" t="s">
        <v>183</v>
      </c>
      <c r="O59" s="26" t="s">
        <v>85</v>
      </c>
      <c r="P59" s="26" t="s">
        <v>31</v>
      </c>
      <c r="Q59" s="29" t="s">
        <v>253</v>
      </c>
      <c r="R59" s="27" t="s">
        <v>61</v>
      </c>
      <c r="S59" s="29">
        <v>30000</v>
      </c>
      <c r="T59" s="26">
        <v>2020</v>
      </c>
      <c r="U59" s="30">
        <v>202407</v>
      </c>
      <c r="V59" s="31">
        <v>45504</v>
      </c>
      <c r="W59" s="27" t="s">
        <v>78</v>
      </c>
      <c r="X59" s="26" t="s">
        <v>79</v>
      </c>
    </row>
    <row r="60" spans="1:24" x14ac:dyDescent="0.15">
      <c r="A60" s="26" t="s">
        <v>311</v>
      </c>
      <c r="B60" s="27" t="s">
        <v>222</v>
      </c>
      <c r="C60" s="27" t="s">
        <v>283</v>
      </c>
      <c r="D60" s="27" t="s">
        <v>90</v>
      </c>
      <c r="E60" s="27" t="s">
        <v>91</v>
      </c>
      <c r="F60" s="27" t="s">
        <v>25</v>
      </c>
      <c r="G60" s="28">
        <v>27900</v>
      </c>
      <c r="H60" s="28" t="s">
        <v>41</v>
      </c>
      <c r="I60" s="27" t="s">
        <v>284</v>
      </c>
      <c r="J60" s="27" t="s">
        <v>532</v>
      </c>
      <c r="K60" s="27" t="s">
        <v>477</v>
      </c>
      <c r="L60" s="27" t="s">
        <v>285</v>
      </c>
      <c r="M60" s="26" t="s">
        <v>142</v>
      </c>
      <c r="N60" s="26" t="s">
        <v>142</v>
      </c>
      <c r="O60" s="26" t="s">
        <v>85</v>
      </c>
      <c r="P60" s="26" t="s">
        <v>31</v>
      </c>
      <c r="Q60" s="29" t="s">
        <v>286</v>
      </c>
      <c r="R60" s="27" t="s">
        <v>54</v>
      </c>
      <c r="S60" s="29">
        <v>13000</v>
      </c>
      <c r="T60" s="26">
        <v>2023</v>
      </c>
      <c r="U60" s="30">
        <v>202410</v>
      </c>
      <c r="V60" s="31">
        <v>45596</v>
      </c>
      <c r="W60" s="27" t="s">
        <v>157</v>
      </c>
      <c r="X60" s="26" t="s">
        <v>158</v>
      </c>
    </row>
    <row r="61" spans="1:24" x14ac:dyDescent="0.15">
      <c r="A61" s="26" t="s">
        <v>312</v>
      </c>
      <c r="B61" s="27" t="s">
        <v>222</v>
      </c>
      <c r="C61" s="27" t="s">
        <v>223</v>
      </c>
      <c r="D61" s="27" t="s">
        <v>90</v>
      </c>
      <c r="E61" s="27" t="s">
        <v>91</v>
      </c>
      <c r="F61" s="27" t="s">
        <v>25</v>
      </c>
      <c r="G61" s="28">
        <v>41200</v>
      </c>
      <c r="H61" s="28" t="s">
        <v>92</v>
      </c>
      <c r="I61" s="27" t="s">
        <v>236</v>
      </c>
      <c r="J61" s="27" t="s">
        <v>523</v>
      </c>
      <c r="K61" s="27" t="s">
        <v>33</v>
      </c>
      <c r="L61" s="27" t="s">
        <v>237</v>
      </c>
      <c r="M61" s="26" t="s">
        <v>84</v>
      </c>
      <c r="N61" s="26" t="s">
        <v>84</v>
      </c>
      <c r="O61" s="26" t="s">
        <v>85</v>
      </c>
      <c r="P61" s="26" t="s">
        <v>31</v>
      </c>
      <c r="Q61" s="29" t="s">
        <v>86</v>
      </c>
      <c r="R61" s="27" t="s">
        <v>46</v>
      </c>
      <c r="S61" s="29">
        <v>29000</v>
      </c>
      <c r="T61" s="26">
        <v>2020</v>
      </c>
      <c r="U61" s="30">
        <v>202403</v>
      </c>
      <c r="V61" s="31">
        <v>45382</v>
      </c>
      <c r="W61" s="27" t="s">
        <v>55</v>
      </c>
      <c r="X61" s="26" t="s">
        <v>35</v>
      </c>
    </row>
    <row r="62" spans="1:24" x14ac:dyDescent="0.15">
      <c r="A62" s="26" t="s">
        <v>313</v>
      </c>
      <c r="B62" s="27" t="s">
        <v>212</v>
      </c>
      <c r="C62" s="27" t="s">
        <v>304</v>
      </c>
      <c r="D62" s="27" t="s">
        <v>262</v>
      </c>
      <c r="E62" s="27" t="s">
        <v>305</v>
      </c>
      <c r="F62" s="27" t="s">
        <v>25</v>
      </c>
      <c r="G62" s="28">
        <v>115900</v>
      </c>
      <c r="H62" s="28" t="s">
        <v>264</v>
      </c>
      <c r="I62" s="27" t="s">
        <v>306</v>
      </c>
      <c r="J62" s="27" t="s">
        <v>537</v>
      </c>
      <c r="K62" s="27" t="s">
        <v>519</v>
      </c>
      <c r="L62" s="27" t="s">
        <v>307</v>
      </c>
      <c r="M62" s="26" t="s">
        <v>183</v>
      </c>
      <c r="N62" s="26" t="s">
        <v>183</v>
      </c>
      <c r="O62" s="26" t="s">
        <v>85</v>
      </c>
      <c r="P62" s="26" t="s">
        <v>31</v>
      </c>
      <c r="Q62" s="29" t="s">
        <v>128</v>
      </c>
      <c r="R62" s="27" t="s">
        <v>46</v>
      </c>
      <c r="S62" s="29">
        <v>2500</v>
      </c>
      <c r="T62" s="26">
        <v>2024</v>
      </c>
      <c r="U62" s="30">
        <v>202412</v>
      </c>
      <c r="V62" s="31">
        <v>45657</v>
      </c>
      <c r="W62" s="27" t="s">
        <v>197</v>
      </c>
      <c r="X62" s="26" t="s">
        <v>158</v>
      </c>
    </row>
    <row r="63" spans="1:24" x14ac:dyDescent="0.15">
      <c r="A63" s="26" t="s">
        <v>314</v>
      </c>
      <c r="B63" s="27" t="s">
        <v>273</v>
      </c>
      <c r="C63" s="27" t="s">
        <v>274</v>
      </c>
      <c r="D63" s="27" t="s">
        <v>90</v>
      </c>
      <c r="E63" s="27" t="s">
        <v>91</v>
      </c>
      <c r="F63" s="27" t="s">
        <v>25</v>
      </c>
      <c r="G63" s="28">
        <v>35200</v>
      </c>
      <c r="H63" s="28" t="s">
        <v>41</v>
      </c>
      <c r="I63" s="27" t="s">
        <v>275</v>
      </c>
      <c r="J63" s="27" t="s">
        <v>530</v>
      </c>
      <c r="K63" s="27" t="s">
        <v>33</v>
      </c>
      <c r="L63" s="27" t="s">
        <v>276</v>
      </c>
      <c r="M63" s="26" t="s">
        <v>99</v>
      </c>
      <c r="N63" s="26" t="s">
        <v>99</v>
      </c>
      <c r="O63" s="26" t="s">
        <v>68</v>
      </c>
      <c r="P63" s="26" t="s">
        <v>31</v>
      </c>
      <c r="Q63" s="29" t="s">
        <v>60</v>
      </c>
      <c r="R63" s="27" t="s">
        <v>46</v>
      </c>
      <c r="S63" s="29">
        <v>25000</v>
      </c>
      <c r="T63" s="26">
        <v>2020</v>
      </c>
      <c r="U63" s="30">
        <v>202409</v>
      </c>
      <c r="V63" s="31">
        <v>45565</v>
      </c>
      <c r="W63" s="27" t="s">
        <v>134</v>
      </c>
      <c r="X63" s="26" t="s">
        <v>79</v>
      </c>
    </row>
    <row r="64" spans="1:24" x14ac:dyDescent="0.15">
      <c r="A64" s="26" t="s">
        <v>315</v>
      </c>
      <c r="B64" s="27" t="s">
        <v>217</v>
      </c>
      <c r="C64" s="27" t="s">
        <v>292</v>
      </c>
      <c r="D64" s="27" t="s">
        <v>23</v>
      </c>
      <c r="E64" s="27" t="s">
        <v>73</v>
      </c>
      <c r="F64" s="27" t="s">
        <v>25</v>
      </c>
      <c r="G64" s="28">
        <v>34500</v>
      </c>
      <c r="H64" s="28" t="s">
        <v>41</v>
      </c>
      <c r="I64" s="27" t="s">
        <v>293</v>
      </c>
      <c r="J64" s="27" t="s">
        <v>534</v>
      </c>
      <c r="K64" s="27" t="s">
        <v>475</v>
      </c>
      <c r="L64" s="27" t="s">
        <v>294</v>
      </c>
      <c r="M64" s="26" t="s">
        <v>138</v>
      </c>
      <c r="N64" s="26" t="s">
        <v>138</v>
      </c>
      <c r="O64" s="26" t="s">
        <v>30</v>
      </c>
      <c r="P64" s="26" t="s">
        <v>31</v>
      </c>
      <c r="Q64" s="29" t="s">
        <v>156</v>
      </c>
      <c r="R64" s="27" t="s">
        <v>70</v>
      </c>
      <c r="S64" s="29">
        <v>5000</v>
      </c>
      <c r="T64" s="26">
        <v>2024</v>
      </c>
      <c r="U64" s="30">
        <v>202411</v>
      </c>
      <c r="V64" s="31">
        <v>45626</v>
      </c>
      <c r="W64" s="27" t="s">
        <v>179</v>
      </c>
      <c r="X64" s="26" t="s">
        <v>158</v>
      </c>
    </row>
    <row r="65" spans="1:24" x14ac:dyDescent="0.15">
      <c r="A65" s="26" t="s">
        <v>316</v>
      </c>
      <c r="B65" s="27" t="s">
        <v>255</v>
      </c>
      <c r="C65" s="27" t="s">
        <v>296</v>
      </c>
      <c r="D65" s="27" t="s">
        <v>90</v>
      </c>
      <c r="E65" s="27" t="s">
        <v>91</v>
      </c>
      <c r="F65" s="27" t="s">
        <v>25</v>
      </c>
      <c r="G65" s="28">
        <v>29800</v>
      </c>
      <c r="H65" s="28" t="s">
        <v>41</v>
      </c>
      <c r="I65" s="27" t="s">
        <v>297</v>
      </c>
      <c r="J65" s="27" t="s">
        <v>535</v>
      </c>
      <c r="K65" s="27" t="s">
        <v>484</v>
      </c>
      <c r="L65" s="27" t="s">
        <v>298</v>
      </c>
      <c r="M65" s="26" t="s">
        <v>67</v>
      </c>
      <c r="N65" s="26" t="s">
        <v>67</v>
      </c>
      <c r="O65" s="26" t="s">
        <v>68</v>
      </c>
      <c r="P65" s="26" t="s">
        <v>31</v>
      </c>
      <c r="Q65" s="29" t="s">
        <v>53</v>
      </c>
      <c r="R65" s="27" t="s">
        <v>143</v>
      </c>
      <c r="S65" s="29">
        <v>9000</v>
      </c>
      <c r="T65" s="26">
        <v>2023</v>
      </c>
      <c r="U65" s="30">
        <v>202411</v>
      </c>
      <c r="V65" s="31">
        <v>45626</v>
      </c>
      <c r="W65" s="27" t="s">
        <v>179</v>
      </c>
      <c r="X65" s="26" t="s">
        <v>158</v>
      </c>
    </row>
    <row r="66" spans="1:24" x14ac:dyDescent="0.15">
      <c r="A66" s="26" t="s">
        <v>317</v>
      </c>
      <c r="B66" s="27" t="s">
        <v>222</v>
      </c>
      <c r="C66" s="27" t="s">
        <v>283</v>
      </c>
      <c r="D66" s="27" t="s">
        <v>90</v>
      </c>
      <c r="E66" s="27" t="s">
        <v>91</v>
      </c>
      <c r="F66" s="27" t="s">
        <v>25</v>
      </c>
      <c r="G66" s="28">
        <v>27900</v>
      </c>
      <c r="H66" s="28" t="s">
        <v>41</v>
      </c>
      <c r="I66" s="27" t="s">
        <v>284</v>
      </c>
      <c r="J66" s="27" t="s">
        <v>532</v>
      </c>
      <c r="K66" s="27" t="s">
        <v>477</v>
      </c>
      <c r="L66" s="27" t="s">
        <v>285</v>
      </c>
      <c r="M66" s="26" t="s">
        <v>142</v>
      </c>
      <c r="N66" s="26" t="s">
        <v>142</v>
      </c>
      <c r="O66" s="26" t="s">
        <v>85</v>
      </c>
      <c r="P66" s="26" t="s">
        <v>31</v>
      </c>
      <c r="Q66" s="29" t="s">
        <v>286</v>
      </c>
      <c r="R66" s="27" t="s">
        <v>54</v>
      </c>
      <c r="S66" s="29">
        <v>13000</v>
      </c>
      <c r="T66" s="26">
        <v>2023</v>
      </c>
      <c r="U66" s="30">
        <v>202410</v>
      </c>
      <c r="V66" s="31">
        <v>45596</v>
      </c>
      <c r="W66" s="27" t="s">
        <v>157</v>
      </c>
      <c r="X66" s="26" t="s">
        <v>158</v>
      </c>
    </row>
    <row r="67" spans="1:24" x14ac:dyDescent="0.15">
      <c r="A67" s="26" t="s">
        <v>318</v>
      </c>
      <c r="B67" s="27" t="s">
        <v>222</v>
      </c>
      <c r="C67" s="27" t="s">
        <v>223</v>
      </c>
      <c r="D67" s="27" t="s">
        <v>90</v>
      </c>
      <c r="E67" s="27" t="s">
        <v>91</v>
      </c>
      <c r="F67" s="27" t="s">
        <v>25</v>
      </c>
      <c r="G67" s="28">
        <v>38900</v>
      </c>
      <c r="H67" s="28" t="s">
        <v>41</v>
      </c>
      <c r="I67" s="27" t="s">
        <v>224</v>
      </c>
      <c r="J67" s="27" t="s">
        <v>499</v>
      </c>
      <c r="K67" s="27" t="s">
        <v>519</v>
      </c>
      <c r="L67" s="27" t="s">
        <v>225</v>
      </c>
      <c r="M67" s="26" t="s">
        <v>142</v>
      </c>
      <c r="N67" s="26" t="s">
        <v>142</v>
      </c>
      <c r="O67" s="26" t="s">
        <v>85</v>
      </c>
      <c r="P67" s="26" t="s">
        <v>31</v>
      </c>
      <c r="Q67" s="29" t="s">
        <v>86</v>
      </c>
      <c r="R67" s="27" t="s">
        <v>101</v>
      </c>
      <c r="S67" s="29">
        <v>35000</v>
      </c>
      <c r="T67" s="26">
        <v>2020</v>
      </c>
      <c r="U67" s="30">
        <v>202402</v>
      </c>
      <c r="V67" s="31">
        <v>45351</v>
      </c>
      <c r="W67" s="27" t="s">
        <v>47</v>
      </c>
      <c r="X67" s="26" t="s">
        <v>35</v>
      </c>
    </row>
    <row r="68" spans="1:24" x14ac:dyDescent="0.15">
      <c r="A68" s="26" t="s">
        <v>319</v>
      </c>
      <c r="B68" s="27" t="s">
        <v>255</v>
      </c>
      <c r="C68" s="27" t="s">
        <v>296</v>
      </c>
      <c r="D68" s="27" t="s">
        <v>90</v>
      </c>
      <c r="E68" s="27" t="s">
        <v>91</v>
      </c>
      <c r="F68" s="27" t="s">
        <v>25</v>
      </c>
      <c r="G68" s="28">
        <v>29800</v>
      </c>
      <c r="H68" s="28" t="s">
        <v>41</v>
      </c>
      <c r="I68" s="27" t="s">
        <v>297</v>
      </c>
      <c r="J68" s="27" t="s">
        <v>535</v>
      </c>
      <c r="K68" s="27" t="s">
        <v>484</v>
      </c>
      <c r="L68" s="27" t="s">
        <v>298</v>
      </c>
      <c r="M68" s="26" t="s">
        <v>67</v>
      </c>
      <c r="N68" s="26" t="s">
        <v>67</v>
      </c>
      <c r="O68" s="26" t="s">
        <v>68</v>
      </c>
      <c r="P68" s="26" t="s">
        <v>31</v>
      </c>
      <c r="Q68" s="29" t="s">
        <v>53</v>
      </c>
      <c r="R68" s="27" t="s">
        <v>143</v>
      </c>
      <c r="S68" s="29">
        <v>9000</v>
      </c>
      <c r="T68" s="26">
        <v>2023</v>
      </c>
      <c r="U68" s="30">
        <v>202411</v>
      </c>
      <c r="V68" s="31">
        <v>45626</v>
      </c>
      <c r="W68" s="27" t="s">
        <v>179</v>
      </c>
      <c r="X68" s="26" t="s">
        <v>158</v>
      </c>
    </row>
    <row r="69" spans="1:24" x14ac:dyDescent="0.15">
      <c r="A69" s="26" t="s">
        <v>320</v>
      </c>
      <c r="B69" s="27" t="s">
        <v>217</v>
      </c>
      <c r="C69" s="27" t="s">
        <v>218</v>
      </c>
      <c r="D69" s="27" t="s">
        <v>23</v>
      </c>
      <c r="E69" s="27" t="s">
        <v>464</v>
      </c>
      <c r="F69" s="27" t="s">
        <v>25</v>
      </c>
      <c r="G69" s="28">
        <v>22900</v>
      </c>
      <c r="H69" s="28" t="s">
        <v>26</v>
      </c>
      <c r="I69" s="27" t="s">
        <v>219</v>
      </c>
      <c r="J69" s="27" t="s">
        <v>517</v>
      </c>
      <c r="K69" s="27" t="s">
        <v>518</v>
      </c>
      <c r="L69" s="27" t="s">
        <v>220</v>
      </c>
      <c r="M69" s="26" t="s">
        <v>44</v>
      </c>
      <c r="N69" s="26" t="s">
        <v>44</v>
      </c>
      <c r="O69" s="26" t="s">
        <v>30</v>
      </c>
      <c r="P69" s="26" t="s">
        <v>31</v>
      </c>
      <c r="Q69" s="29" t="s">
        <v>156</v>
      </c>
      <c r="R69" s="27" t="s">
        <v>70</v>
      </c>
      <c r="S69" s="29">
        <v>12000</v>
      </c>
      <c r="T69" s="26">
        <v>2022</v>
      </c>
      <c r="U69" s="30">
        <v>202402</v>
      </c>
      <c r="V69" s="31">
        <v>45351</v>
      </c>
      <c r="W69" s="27" t="s">
        <v>47</v>
      </c>
      <c r="X69" s="26" t="s">
        <v>35</v>
      </c>
    </row>
    <row r="70" spans="1:24" x14ac:dyDescent="0.15">
      <c r="A70" s="26" t="s">
        <v>321</v>
      </c>
      <c r="B70" s="27" t="s">
        <v>273</v>
      </c>
      <c r="C70" s="27" t="s">
        <v>288</v>
      </c>
      <c r="D70" s="27" t="s">
        <v>23</v>
      </c>
      <c r="E70" s="27" t="s">
        <v>73</v>
      </c>
      <c r="F70" s="27" t="s">
        <v>25</v>
      </c>
      <c r="G70" s="28">
        <v>26900</v>
      </c>
      <c r="H70" s="28" t="s">
        <v>41</v>
      </c>
      <c r="I70" s="27" t="s">
        <v>289</v>
      </c>
      <c r="J70" s="27" t="s">
        <v>533</v>
      </c>
      <c r="K70" s="27" t="s">
        <v>33</v>
      </c>
      <c r="L70" s="27" t="s">
        <v>290</v>
      </c>
      <c r="M70" s="26" t="s">
        <v>99</v>
      </c>
      <c r="N70" s="26" t="s">
        <v>99</v>
      </c>
      <c r="O70" s="26" t="s">
        <v>68</v>
      </c>
      <c r="P70" s="26" t="s">
        <v>166</v>
      </c>
      <c r="Q70" s="29" t="s">
        <v>562</v>
      </c>
      <c r="R70" s="27" t="s">
        <v>70</v>
      </c>
      <c r="S70" s="29">
        <v>8000</v>
      </c>
      <c r="T70" s="26">
        <v>2023</v>
      </c>
      <c r="U70" s="30">
        <v>202410</v>
      </c>
      <c r="V70" s="31">
        <v>45596</v>
      </c>
      <c r="W70" s="27" t="s">
        <v>157</v>
      </c>
      <c r="X70" s="26" t="s">
        <v>158</v>
      </c>
    </row>
    <row r="71" spans="1:24" x14ac:dyDescent="0.15">
      <c r="A71" s="26" t="s">
        <v>322</v>
      </c>
      <c r="B71" s="27" t="s">
        <v>222</v>
      </c>
      <c r="C71" s="27" t="s">
        <v>283</v>
      </c>
      <c r="D71" s="27" t="s">
        <v>90</v>
      </c>
      <c r="E71" s="27" t="s">
        <v>91</v>
      </c>
      <c r="F71" s="27" t="s">
        <v>25</v>
      </c>
      <c r="G71" s="28">
        <v>27900</v>
      </c>
      <c r="H71" s="28" t="s">
        <v>41</v>
      </c>
      <c r="I71" s="27" t="s">
        <v>284</v>
      </c>
      <c r="J71" s="27" t="s">
        <v>532</v>
      </c>
      <c r="K71" s="27" t="s">
        <v>477</v>
      </c>
      <c r="L71" s="27" t="s">
        <v>285</v>
      </c>
      <c r="M71" s="26" t="s">
        <v>142</v>
      </c>
      <c r="N71" s="26" t="s">
        <v>142</v>
      </c>
      <c r="O71" s="26" t="s">
        <v>85</v>
      </c>
      <c r="P71" s="26" t="s">
        <v>31</v>
      </c>
      <c r="Q71" s="29" t="s">
        <v>286</v>
      </c>
      <c r="R71" s="27" t="s">
        <v>54</v>
      </c>
      <c r="S71" s="29">
        <v>13000</v>
      </c>
      <c r="T71" s="26">
        <v>2023</v>
      </c>
      <c r="U71" s="30">
        <v>202410</v>
      </c>
      <c r="V71" s="31">
        <v>45596</v>
      </c>
      <c r="W71" s="27" t="s">
        <v>157</v>
      </c>
      <c r="X71" s="26" t="s">
        <v>158</v>
      </c>
    </row>
    <row r="72" spans="1:24" x14ac:dyDescent="0.15">
      <c r="A72" s="26" t="s">
        <v>323</v>
      </c>
      <c r="B72" s="27" t="s">
        <v>212</v>
      </c>
      <c r="C72" s="27" t="s">
        <v>213</v>
      </c>
      <c r="D72" s="27" t="s">
        <v>23</v>
      </c>
      <c r="E72" s="27" t="s">
        <v>73</v>
      </c>
      <c r="F72" s="27" t="s">
        <v>25</v>
      </c>
      <c r="G72" s="28">
        <v>26800</v>
      </c>
      <c r="H72" s="28" t="s">
        <v>41</v>
      </c>
      <c r="I72" s="27" t="s">
        <v>214</v>
      </c>
      <c r="J72" s="27" t="s">
        <v>515</v>
      </c>
      <c r="K72" s="27" t="s">
        <v>516</v>
      </c>
      <c r="L72" s="27" t="s">
        <v>215</v>
      </c>
      <c r="N72" s="26" t="s">
        <v>562</v>
      </c>
      <c r="O72" s="26" t="s">
        <v>52</v>
      </c>
      <c r="P72" s="26" t="s">
        <v>31</v>
      </c>
      <c r="Q72" s="29" t="s">
        <v>60</v>
      </c>
      <c r="R72" s="27" t="s">
        <v>54</v>
      </c>
      <c r="S72" s="29">
        <v>22000</v>
      </c>
      <c r="T72" s="26">
        <v>2020</v>
      </c>
      <c r="U72" s="30">
        <v>202402</v>
      </c>
      <c r="V72" s="31">
        <v>45351</v>
      </c>
      <c r="W72" s="27" t="s">
        <v>47</v>
      </c>
      <c r="X72" s="26" t="s">
        <v>35</v>
      </c>
    </row>
    <row r="73" spans="1:24" x14ac:dyDescent="0.15">
      <c r="A73" s="26" t="s">
        <v>324</v>
      </c>
      <c r="B73" s="27" t="s">
        <v>255</v>
      </c>
      <c r="C73" s="27" t="s">
        <v>296</v>
      </c>
      <c r="D73" s="27" t="s">
        <v>90</v>
      </c>
      <c r="E73" s="27" t="s">
        <v>91</v>
      </c>
      <c r="F73" s="27" t="s">
        <v>25</v>
      </c>
      <c r="G73" s="28">
        <v>29800</v>
      </c>
      <c r="H73" s="28" t="s">
        <v>41</v>
      </c>
      <c r="I73" s="27" t="s">
        <v>297</v>
      </c>
      <c r="J73" s="27" t="s">
        <v>535</v>
      </c>
      <c r="K73" s="27" t="s">
        <v>484</v>
      </c>
      <c r="L73" s="27" t="s">
        <v>298</v>
      </c>
      <c r="M73" s="26" t="s">
        <v>67</v>
      </c>
      <c r="N73" s="26" t="s">
        <v>67</v>
      </c>
      <c r="O73" s="26" t="s">
        <v>68</v>
      </c>
      <c r="P73" s="26" t="s">
        <v>31</v>
      </c>
      <c r="Q73" s="29" t="s">
        <v>53</v>
      </c>
      <c r="R73" s="27" t="s">
        <v>143</v>
      </c>
      <c r="S73" s="29">
        <v>9000</v>
      </c>
      <c r="T73" s="26">
        <v>2023</v>
      </c>
      <c r="U73" s="30">
        <v>202411</v>
      </c>
      <c r="V73" s="31">
        <v>45626</v>
      </c>
      <c r="W73" s="27" t="s">
        <v>179</v>
      </c>
      <c r="X73" s="26" t="s">
        <v>158</v>
      </c>
    </row>
    <row r="74" spans="1:24" x14ac:dyDescent="0.15">
      <c r="A74" s="26" t="s">
        <v>325</v>
      </c>
      <c r="B74" s="27" t="s">
        <v>212</v>
      </c>
      <c r="C74" s="27" t="s">
        <v>213</v>
      </c>
      <c r="D74" s="27" t="s">
        <v>23</v>
      </c>
      <c r="E74" s="27" t="s">
        <v>73</v>
      </c>
      <c r="F74" s="27" t="s">
        <v>25</v>
      </c>
      <c r="G74" s="28">
        <v>27500</v>
      </c>
      <c r="H74" s="28" t="s">
        <v>41</v>
      </c>
      <c r="I74" s="27" t="s">
        <v>233</v>
      </c>
      <c r="J74" s="27" t="s">
        <v>522</v>
      </c>
      <c r="K74" s="27" t="s">
        <v>496</v>
      </c>
      <c r="L74" s="27" t="s">
        <v>234</v>
      </c>
      <c r="M74" s="26" t="s">
        <v>183</v>
      </c>
      <c r="N74" s="26" t="s">
        <v>183</v>
      </c>
      <c r="O74" s="26" t="s">
        <v>85</v>
      </c>
      <c r="P74" s="26" t="s">
        <v>31</v>
      </c>
      <c r="Q74" s="29" t="s">
        <v>60</v>
      </c>
      <c r="R74" s="27" t="s">
        <v>562</v>
      </c>
      <c r="S74" s="29">
        <v>26000</v>
      </c>
      <c r="T74" s="26">
        <v>2020</v>
      </c>
      <c r="U74" s="30">
        <v>202403</v>
      </c>
      <c r="V74" s="31">
        <v>45382</v>
      </c>
      <c r="W74" s="27" t="s">
        <v>55</v>
      </c>
      <c r="X74" s="26" t="s">
        <v>35</v>
      </c>
    </row>
    <row r="75" spans="1:24" x14ac:dyDescent="0.15">
      <c r="A75" s="26" t="s">
        <v>326</v>
      </c>
      <c r="B75" s="27" t="s">
        <v>212</v>
      </c>
      <c r="C75" s="27" t="s">
        <v>213</v>
      </c>
      <c r="D75" s="27" t="s">
        <v>23</v>
      </c>
      <c r="E75" s="27" t="s">
        <v>73</v>
      </c>
      <c r="F75" s="27" t="s">
        <v>25</v>
      </c>
      <c r="G75" s="28">
        <v>26800</v>
      </c>
      <c r="H75" s="28" t="s">
        <v>41</v>
      </c>
      <c r="I75" s="27" t="s">
        <v>214</v>
      </c>
      <c r="J75" s="27" t="s">
        <v>515</v>
      </c>
      <c r="K75" s="27" t="s">
        <v>516</v>
      </c>
      <c r="L75" s="27" t="s">
        <v>215</v>
      </c>
      <c r="N75" s="26" t="s">
        <v>562</v>
      </c>
      <c r="O75" s="26" t="s">
        <v>52</v>
      </c>
      <c r="P75" s="26" t="s">
        <v>31</v>
      </c>
      <c r="Q75" s="29" t="s">
        <v>60</v>
      </c>
      <c r="R75" s="27" t="s">
        <v>54</v>
      </c>
      <c r="S75" s="29">
        <v>22000</v>
      </c>
      <c r="T75" s="26">
        <v>2020</v>
      </c>
      <c r="U75" s="30">
        <v>202402</v>
      </c>
      <c r="V75" s="31">
        <v>45351</v>
      </c>
      <c r="W75" s="27" t="s">
        <v>47</v>
      </c>
      <c r="X75" s="26" t="s">
        <v>35</v>
      </c>
    </row>
    <row r="76" spans="1:24" x14ac:dyDescent="0.15">
      <c r="A76" s="26" t="s">
        <v>327</v>
      </c>
      <c r="B76" s="27" t="s">
        <v>222</v>
      </c>
      <c r="C76" s="27" t="s">
        <v>283</v>
      </c>
      <c r="D76" s="27" t="s">
        <v>90</v>
      </c>
      <c r="E76" s="27" t="s">
        <v>91</v>
      </c>
      <c r="F76" s="27" t="s">
        <v>25</v>
      </c>
      <c r="G76" s="28">
        <v>27900</v>
      </c>
      <c r="H76" s="28" t="s">
        <v>41</v>
      </c>
      <c r="I76" s="27" t="s">
        <v>284</v>
      </c>
      <c r="J76" s="27" t="s">
        <v>532</v>
      </c>
      <c r="K76" s="27" t="s">
        <v>477</v>
      </c>
      <c r="L76" s="27" t="s">
        <v>285</v>
      </c>
      <c r="M76" s="26" t="s">
        <v>142</v>
      </c>
      <c r="N76" s="26" t="s">
        <v>142</v>
      </c>
      <c r="O76" s="26" t="s">
        <v>85</v>
      </c>
      <c r="P76" s="26" t="s">
        <v>31</v>
      </c>
      <c r="Q76" s="29" t="s">
        <v>286</v>
      </c>
      <c r="R76" s="27" t="s">
        <v>54</v>
      </c>
      <c r="S76" s="29">
        <v>13000</v>
      </c>
      <c r="T76" s="26">
        <v>2023</v>
      </c>
      <c r="U76" s="30">
        <v>202410</v>
      </c>
      <c r="V76" s="31">
        <v>45596</v>
      </c>
      <c r="W76" s="27" t="s">
        <v>157</v>
      </c>
      <c r="X76" s="26" t="s">
        <v>158</v>
      </c>
    </row>
    <row r="77" spans="1:24" x14ac:dyDescent="0.15">
      <c r="A77" s="26" t="s">
        <v>328</v>
      </c>
      <c r="B77" s="27" t="s">
        <v>207</v>
      </c>
      <c r="C77" s="27" t="s">
        <v>208</v>
      </c>
      <c r="D77" s="27" t="s">
        <v>23</v>
      </c>
      <c r="E77" s="27" t="s">
        <v>464</v>
      </c>
      <c r="F77" s="27" t="s">
        <v>25</v>
      </c>
      <c r="G77" s="28">
        <v>24500</v>
      </c>
      <c r="H77" s="28" t="s">
        <v>26</v>
      </c>
      <c r="I77" s="27" t="s">
        <v>209</v>
      </c>
      <c r="J77" s="27" t="s">
        <v>513</v>
      </c>
      <c r="K77" s="27" t="s">
        <v>514</v>
      </c>
      <c r="L77" s="27" t="s">
        <v>210</v>
      </c>
      <c r="M77" s="26" t="s">
        <v>147</v>
      </c>
      <c r="N77" s="26" t="s">
        <v>147</v>
      </c>
      <c r="O77" s="26" t="s">
        <v>52</v>
      </c>
      <c r="P77" s="26" t="s">
        <v>31</v>
      </c>
      <c r="Q77" s="29" t="s">
        <v>53</v>
      </c>
      <c r="R77" s="27" t="s">
        <v>61</v>
      </c>
      <c r="S77" s="29">
        <v>15000</v>
      </c>
      <c r="T77" s="26">
        <v>2021</v>
      </c>
      <c r="U77" s="30">
        <v>202401</v>
      </c>
      <c r="V77" s="31">
        <v>45322</v>
      </c>
      <c r="W77" s="27" t="s">
        <v>34</v>
      </c>
      <c r="X77" s="26" t="s">
        <v>35</v>
      </c>
    </row>
    <row r="78" spans="1:24" x14ac:dyDescent="0.15">
      <c r="A78" s="26" t="s">
        <v>329</v>
      </c>
      <c r="B78" s="27" t="s">
        <v>212</v>
      </c>
      <c r="C78" s="27" t="s">
        <v>304</v>
      </c>
      <c r="D78" s="27" t="s">
        <v>262</v>
      </c>
      <c r="E78" s="27" t="s">
        <v>305</v>
      </c>
      <c r="F78" s="27" t="s">
        <v>25</v>
      </c>
      <c r="G78" s="28">
        <v>115900</v>
      </c>
      <c r="H78" s="28" t="s">
        <v>264</v>
      </c>
      <c r="I78" s="27" t="s">
        <v>306</v>
      </c>
      <c r="J78" s="27" t="s">
        <v>537</v>
      </c>
      <c r="K78" s="27" t="s">
        <v>519</v>
      </c>
      <c r="L78" s="27" t="s">
        <v>307</v>
      </c>
      <c r="M78" s="26" t="s">
        <v>183</v>
      </c>
      <c r="N78" s="26" t="s">
        <v>183</v>
      </c>
      <c r="O78" s="26" t="s">
        <v>85</v>
      </c>
      <c r="P78" s="26" t="s">
        <v>31</v>
      </c>
      <c r="Q78" s="29" t="s">
        <v>128</v>
      </c>
      <c r="R78" s="27" t="s">
        <v>46</v>
      </c>
      <c r="S78" s="29">
        <v>2500</v>
      </c>
      <c r="T78" s="26">
        <v>2024</v>
      </c>
      <c r="U78" s="30">
        <v>202412</v>
      </c>
      <c r="V78" s="31">
        <v>45657</v>
      </c>
      <c r="W78" s="27" t="s">
        <v>197</v>
      </c>
      <c r="X78" s="26" t="s">
        <v>158</v>
      </c>
    </row>
    <row r="79" spans="1:24" x14ac:dyDescent="0.15">
      <c r="A79" s="26" t="s">
        <v>330</v>
      </c>
      <c r="B79" s="27" t="s">
        <v>273</v>
      </c>
      <c r="C79" s="27" t="s">
        <v>288</v>
      </c>
      <c r="D79" s="27" t="s">
        <v>23</v>
      </c>
      <c r="E79" s="27" t="s">
        <v>73</v>
      </c>
      <c r="F79" s="27" t="s">
        <v>25</v>
      </c>
      <c r="G79" s="28">
        <v>26900</v>
      </c>
      <c r="H79" s="28" t="s">
        <v>41</v>
      </c>
      <c r="I79" s="27" t="s">
        <v>289</v>
      </c>
      <c r="J79" s="27" t="s">
        <v>533</v>
      </c>
      <c r="K79" s="27" t="s">
        <v>33</v>
      </c>
      <c r="L79" s="27" t="s">
        <v>290</v>
      </c>
      <c r="M79" s="26" t="s">
        <v>99</v>
      </c>
      <c r="N79" s="26" t="s">
        <v>99</v>
      </c>
      <c r="O79" s="26" t="s">
        <v>68</v>
      </c>
      <c r="P79" s="26" t="s">
        <v>166</v>
      </c>
      <c r="Q79" s="29" t="s">
        <v>562</v>
      </c>
      <c r="R79" s="27" t="s">
        <v>70</v>
      </c>
      <c r="S79" s="29">
        <v>8000</v>
      </c>
      <c r="T79" s="26">
        <v>2023</v>
      </c>
      <c r="U79" s="30">
        <v>202410</v>
      </c>
      <c r="V79" s="31">
        <v>45596</v>
      </c>
      <c r="W79" s="27" t="s">
        <v>157</v>
      </c>
      <c r="X79" s="26" t="s">
        <v>158</v>
      </c>
    </row>
    <row r="80" spans="1:24" x14ac:dyDescent="0.15">
      <c r="A80" s="26" t="s">
        <v>331</v>
      </c>
      <c r="B80" s="27" t="s">
        <v>244</v>
      </c>
      <c r="C80" s="27" t="s">
        <v>300</v>
      </c>
      <c r="D80" s="27" t="s">
        <v>23</v>
      </c>
      <c r="E80" s="27" t="s">
        <v>73</v>
      </c>
      <c r="F80" s="27" t="s">
        <v>485</v>
      </c>
      <c r="G80" s="28">
        <v>69900</v>
      </c>
      <c r="H80" s="28" t="s">
        <v>229</v>
      </c>
      <c r="I80" s="27" t="s">
        <v>301</v>
      </c>
      <c r="J80" s="27" t="s">
        <v>536</v>
      </c>
      <c r="K80" s="27" t="s">
        <v>479</v>
      </c>
      <c r="L80" s="27" t="s">
        <v>302</v>
      </c>
      <c r="M80" s="26" t="s">
        <v>248</v>
      </c>
      <c r="N80" s="26" t="s">
        <v>248</v>
      </c>
      <c r="O80" s="26" t="s">
        <v>52</v>
      </c>
      <c r="P80" s="26" t="s">
        <v>31</v>
      </c>
      <c r="Q80" s="29" t="s">
        <v>190</v>
      </c>
      <c r="R80" s="27" t="s">
        <v>33</v>
      </c>
      <c r="S80" s="29">
        <v>6000</v>
      </c>
      <c r="T80" s="26">
        <v>2023</v>
      </c>
      <c r="U80" s="30">
        <v>202412</v>
      </c>
      <c r="V80" s="31">
        <v>45657</v>
      </c>
      <c r="W80" s="27" t="s">
        <v>197</v>
      </c>
      <c r="X80" s="26" t="s">
        <v>158</v>
      </c>
    </row>
    <row r="81" spans="1:24" x14ac:dyDescent="0.15">
      <c r="A81" s="26" t="s">
        <v>332</v>
      </c>
      <c r="B81" s="27" t="s">
        <v>244</v>
      </c>
      <c r="C81" s="27" t="s">
        <v>261</v>
      </c>
      <c r="D81" s="27" t="s">
        <v>262</v>
      </c>
      <c r="E81" s="27" t="s">
        <v>263</v>
      </c>
      <c r="F81" s="27" t="s">
        <v>485</v>
      </c>
      <c r="G81" s="28">
        <v>99900</v>
      </c>
      <c r="H81" s="28" t="s">
        <v>264</v>
      </c>
      <c r="I81" s="27" t="s">
        <v>265</v>
      </c>
      <c r="J81" s="27" t="s">
        <v>528</v>
      </c>
      <c r="K81" s="27" t="s">
        <v>477</v>
      </c>
      <c r="L81" s="27" t="s">
        <v>266</v>
      </c>
      <c r="M81" s="26" t="s">
        <v>248</v>
      </c>
      <c r="N81" s="26" t="s">
        <v>248</v>
      </c>
      <c r="O81" s="26" t="s">
        <v>52</v>
      </c>
      <c r="P81" s="26" t="s">
        <v>31</v>
      </c>
      <c r="Q81" s="29" t="s">
        <v>190</v>
      </c>
      <c r="R81" s="27" t="s">
        <v>61</v>
      </c>
      <c r="S81" s="29">
        <v>18000</v>
      </c>
      <c r="T81" s="26">
        <v>2022</v>
      </c>
      <c r="U81" s="30">
        <v>202407</v>
      </c>
      <c r="V81" s="31">
        <v>45504</v>
      </c>
      <c r="W81" s="27" t="s">
        <v>78</v>
      </c>
      <c r="X81" s="26" t="s">
        <v>79</v>
      </c>
    </row>
    <row r="82" spans="1:24" x14ac:dyDescent="0.15">
      <c r="A82" s="26" t="s">
        <v>333</v>
      </c>
      <c r="B82" s="27" t="s">
        <v>255</v>
      </c>
      <c r="C82" s="27" t="s">
        <v>256</v>
      </c>
      <c r="D82" s="27" t="s">
        <v>90</v>
      </c>
      <c r="E82" s="27" t="s">
        <v>91</v>
      </c>
      <c r="F82" s="27" t="s">
        <v>25</v>
      </c>
      <c r="G82" s="28">
        <v>38900</v>
      </c>
      <c r="H82" s="28" t="s">
        <v>41</v>
      </c>
      <c r="I82" s="27" t="s">
        <v>257</v>
      </c>
      <c r="J82" s="27" t="s">
        <v>527</v>
      </c>
      <c r="K82" s="27" t="s">
        <v>33</v>
      </c>
      <c r="L82" s="27" t="s">
        <v>258</v>
      </c>
      <c r="M82" s="26" t="s">
        <v>67</v>
      </c>
      <c r="N82" s="26" t="s">
        <v>67</v>
      </c>
      <c r="O82" s="26" t="s">
        <v>68</v>
      </c>
      <c r="P82" s="26" t="s">
        <v>31</v>
      </c>
      <c r="Q82" s="29" t="s">
        <v>259</v>
      </c>
      <c r="R82" s="27" t="s">
        <v>143</v>
      </c>
      <c r="S82" s="29">
        <v>9000</v>
      </c>
      <c r="T82" s="26">
        <v>2023</v>
      </c>
      <c r="U82" s="30">
        <v>202407</v>
      </c>
      <c r="V82" s="31">
        <v>45504</v>
      </c>
      <c r="W82" s="27" t="s">
        <v>78</v>
      </c>
      <c r="X82" s="26" t="s">
        <v>79</v>
      </c>
    </row>
    <row r="83" spans="1:24" x14ac:dyDescent="0.15">
      <c r="A83" s="26" t="s">
        <v>334</v>
      </c>
      <c r="B83" s="27" t="s">
        <v>212</v>
      </c>
      <c r="C83" s="27" t="s">
        <v>250</v>
      </c>
      <c r="D83" s="27" t="s">
        <v>90</v>
      </c>
      <c r="E83" s="27" t="s">
        <v>91</v>
      </c>
      <c r="F83" s="27" t="s">
        <v>25</v>
      </c>
      <c r="G83" s="28">
        <v>51200</v>
      </c>
      <c r="H83" s="28" t="s">
        <v>92</v>
      </c>
      <c r="I83" s="27" t="s">
        <v>251</v>
      </c>
      <c r="J83" s="27" t="s">
        <v>526</v>
      </c>
      <c r="K83" s="27" t="s">
        <v>496</v>
      </c>
      <c r="L83" s="27" t="s">
        <v>252</v>
      </c>
      <c r="M83" s="26" t="s">
        <v>183</v>
      </c>
      <c r="N83" s="26" t="s">
        <v>183</v>
      </c>
      <c r="O83" s="26" t="s">
        <v>85</v>
      </c>
      <c r="P83" s="26" t="s">
        <v>31</v>
      </c>
      <c r="Q83" s="29" t="s">
        <v>253</v>
      </c>
      <c r="R83" s="27" t="s">
        <v>61</v>
      </c>
      <c r="S83" s="29">
        <v>30000</v>
      </c>
      <c r="T83" s="26">
        <v>2020</v>
      </c>
      <c r="U83" s="30">
        <v>202407</v>
      </c>
      <c r="V83" s="31">
        <v>45504</v>
      </c>
      <c r="W83" s="27" t="s">
        <v>78</v>
      </c>
      <c r="X83" s="26" t="s">
        <v>79</v>
      </c>
    </row>
    <row r="84" spans="1:24" x14ac:dyDescent="0.15">
      <c r="A84" s="26" t="s">
        <v>335</v>
      </c>
      <c r="B84" s="27" t="s">
        <v>212</v>
      </c>
      <c r="C84" s="27" t="s">
        <v>250</v>
      </c>
      <c r="D84" s="27" t="s">
        <v>90</v>
      </c>
      <c r="E84" s="27" t="s">
        <v>91</v>
      </c>
      <c r="F84" s="27" t="s">
        <v>25</v>
      </c>
      <c r="G84" s="28">
        <v>51200</v>
      </c>
      <c r="H84" s="28" t="s">
        <v>92</v>
      </c>
      <c r="I84" s="27" t="s">
        <v>251</v>
      </c>
      <c r="J84" s="27" t="s">
        <v>526</v>
      </c>
      <c r="K84" s="27" t="s">
        <v>496</v>
      </c>
      <c r="L84" s="27" t="s">
        <v>252</v>
      </c>
      <c r="M84" s="26" t="s">
        <v>183</v>
      </c>
      <c r="N84" s="26" t="s">
        <v>183</v>
      </c>
      <c r="O84" s="26" t="s">
        <v>85</v>
      </c>
      <c r="P84" s="26" t="s">
        <v>31</v>
      </c>
      <c r="Q84" s="29" t="s">
        <v>253</v>
      </c>
      <c r="R84" s="27" t="s">
        <v>61</v>
      </c>
      <c r="S84" s="29">
        <v>30000</v>
      </c>
      <c r="T84" s="26">
        <v>2020</v>
      </c>
      <c r="U84" s="30">
        <v>202407</v>
      </c>
      <c r="V84" s="31">
        <v>45504</v>
      </c>
      <c r="W84" s="27" t="s">
        <v>78</v>
      </c>
      <c r="X84" s="26" t="s">
        <v>79</v>
      </c>
    </row>
    <row r="85" spans="1:24" x14ac:dyDescent="0.15">
      <c r="A85" s="26" t="s">
        <v>336</v>
      </c>
      <c r="B85" s="27" t="s">
        <v>273</v>
      </c>
      <c r="C85" s="27" t="s">
        <v>274</v>
      </c>
      <c r="D85" s="27" t="s">
        <v>90</v>
      </c>
      <c r="E85" s="27" t="s">
        <v>91</v>
      </c>
      <c r="F85" s="27" t="s">
        <v>25</v>
      </c>
      <c r="G85" s="28">
        <v>35200</v>
      </c>
      <c r="H85" s="28" t="s">
        <v>41</v>
      </c>
      <c r="I85" s="27" t="s">
        <v>275</v>
      </c>
      <c r="J85" s="27" t="s">
        <v>530</v>
      </c>
      <c r="K85" s="27" t="s">
        <v>33</v>
      </c>
      <c r="L85" s="27" t="s">
        <v>276</v>
      </c>
      <c r="M85" s="26" t="s">
        <v>99</v>
      </c>
      <c r="N85" s="26" t="s">
        <v>99</v>
      </c>
      <c r="O85" s="26" t="s">
        <v>68</v>
      </c>
      <c r="P85" s="26" t="s">
        <v>31</v>
      </c>
      <c r="Q85" s="29" t="s">
        <v>60</v>
      </c>
      <c r="R85" s="27" t="s">
        <v>46</v>
      </c>
      <c r="S85" s="29">
        <v>25000</v>
      </c>
      <c r="T85" s="26">
        <v>2020</v>
      </c>
      <c r="U85" s="30">
        <v>202409</v>
      </c>
      <c r="V85" s="31">
        <v>45565</v>
      </c>
      <c r="W85" s="27" t="s">
        <v>134</v>
      </c>
      <c r="X85" s="26" t="s">
        <v>79</v>
      </c>
    </row>
    <row r="86" spans="1:24" x14ac:dyDescent="0.15">
      <c r="A86" s="26" t="s">
        <v>337</v>
      </c>
      <c r="B86" s="27" t="s">
        <v>217</v>
      </c>
      <c r="C86" s="27" t="s">
        <v>292</v>
      </c>
      <c r="D86" s="27" t="s">
        <v>23</v>
      </c>
      <c r="E86" s="27" t="s">
        <v>73</v>
      </c>
      <c r="F86" s="27" t="s">
        <v>25</v>
      </c>
      <c r="G86" s="28">
        <v>34500</v>
      </c>
      <c r="H86" s="28" t="s">
        <v>41</v>
      </c>
      <c r="I86" s="27" t="s">
        <v>293</v>
      </c>
      <c r="J86" s="27" t="s">
        <v>534</v>
      </c>
      <c r="K86" s="27" t="s">
        <v>475</v>
      </c>
      <c r="L86" s="27" t="s">
        <v>294</v>
      </c>
      <c r="M86" s="26" t="s">
        <v>138</v>
      </c>
      <c r="N86" s="26" t="s">
        <v>138</v>
      </c>
      <c r="O86" s="26" t="s">
        <v>30</v>
      </c>
      <c r="P86" s="26" t="s">
        <v>31</v>
      </c>
      <c r="Q86" s="29" t="s">
        <v>156</v>
      </c>
      <c r="R86" s="27" t="s">
        <v>70</v>
      </c>
      <c r="S86" s="29">
        <v>5000</v>
      </c>
      <c r="T86" s="26">
        <v>2024</v>
      </c>
      <c r="U86" s="30">
        <v>202411</v>
      </c>
      <c r="V86" s="31">
        <v>45626</v>
      </c>
      <c r="W86" s="27" t="s">
        <v>179</v>
      </c>
      <c r="X86" s="26" t="s">
        <v>158</v>
      </c>
    </row>
    <row r="87" spans="1:24" x14ac:dyDescent="0.15">
      <c r="A87" s="26" t="s">
        <v>338</v>
      </c>
      <c r="B87" s="27" t="s">
        <v>255</v>
      </c>
      <c r="C87" s="27" t="s">
        <v>278</v>
      </c>
      <c r="D87" s="27" t="s">
        <v>90</v>
      </c>
      <c r="E87" s="27" t="s">
        <v>91</v>
      </c>
      <c r="F87" s="27" t="s">
        <v>25</v>
      </c>
      <c r="G87" s="28">
        <v>22900</v>
      </c>
      <c r="H87" s="28" t="s">
        <v>26</v>
      </c>
      <c r="I87" s="27" t="s">
        <v>279</v>
      </c>
      <c r="J87" s="27" t="s">
        <v>531</v>
      </c>
      <c r="K87" s="27" t="s">
        <v>493</v>
      </c>
      <c r="L87" s="27" t="s">
        <v>280</v>
      </c>
      <c r="M87" s="26" t="s">
        <v>67</v>
      </c>
      <c r="N87" s="26" t="s">
        <v>67</v>
      </c>
      <c r="O87" s="26" t="s">
        <v>68</v>
      </c>
      <c r="P87" s="26" t="s">
        <v>31</v>
      </c>
      <c r="Q87" s="29" t="s">
        <v>281</v>
      </c>
      <c r="R87" s="27" t="s">
        <v>33</v>
      </c>
      <c r="S87" s="29">
        <v>19000</v>
      </c>
      <c r="T87" s="26">
        <v>2021</v>
      </c>
      <c r="U87" s="30">
        <v>202409</v>
      </c>
      <c r="V87" s="31">
        <v>45565</v>
      </c>
      <c r="W87" s="27" t="s">
        <v>134</v>
      </c>
      <c r="X87" s="26" t="s">
        <v>79</v>
      </c>
    </row>
    <row r="88" spans="1:24" x14ac:dyDescent="0.15">
      <c r="A88" s="26" t="s">
        <v>339</v>
      </c>
      <c r="B88" s="27" t="s">
        <v>244</v>
      </c>
      <c r="C88" s="27" t="s">
        <v>300</v>
      </c>
      <c r="D88" s="27" t="s">
        <v>23</v>
      </c>
      <c r="E88" s="27" t="s">
        <v>73</v>
      </c>
      <c r="F88" s="27" t="s">
        <v>485</v>
      </c>
      <c r="G88" s="28">
        <v>69900</v>
      </c>
      <c r="H88" s="28" t="s">
        <v>229</v>
      </c>
      <c r="I88" s="27" t="s">
        <v>301</v>
      </c>
      <c r="J88" s="27" t="s">
        <v>536</v>
      </c>
      <c r="K88" s="27" t="s">
        <v>479</v>
      </c>
      <c r="L88" s="27" t="s">
        <v>302</v>
      </c>
      <c r="M88" s="26" t="s">
        <v>248</v>
      </c>
      <c r="N88" s="26" t="s">
        <v>248</v>
      </c>
      <c r="O88" s="26" t="s">
        <v>52</v>
      </c>
      <c r="P88" s="26" t="s">
        <v>31</v>
      </c>
      <c r="Q88" s="29" t="s">
        <v>190</v>
      </c>
      <c r="R88" s="27" t="s">
        <v>33</v>
      </c>
      <c r="S88" s="29">
        <v>6000</v>
      </c>
      <c r="T88" s="26">
        <v>2023</v>
      </c>
      <c r="U88" s="30">
        <v>202412</v>
      </c>
      <c r="V88" s="31">
        <v>45657</v>
      </c>
      <c r="W88" s="27" t="s">
        <v>197</v>
      </c>
      <c r="X88" s="26" t="s">
        <v>158</v>
      </c>
    </row>
    <row r="89" spans="1:24" x14ac:dyDescent="0.15">
      <c r="A89" s="26" t="s">
        <v>340</v>
      </c>
      <c r="B89" s="27" t="s">
        <v>217</v>
      </c>
      <c r="C89" s="27" t="s">
        <v>218</v>
      </c>
      <c r="D89" s="27" t="s">
        <v>23</v>
      </c>
      <c r="E89" s="27" t="s">
        <v>464</v>
      </c>
      <c r="F89" s="27" t="s">
        <v>25</v>
      </c>
      <c r="G89" s="28">
        <v>22900</v>
      </c>
      <c r="H89" s="28" t="s">
        <v>26</v>
      </c>
      <c r="I89" s="27" t="s">
        <v>219</v>
      </c>
      <c r="J89" s="27" t="s">
        <v>517</v>
      </c>
      <c r="K89" s="27" t="s">
        <v>518</v>
      </c>
      <c r="L89" s="27" t="s">
        <v>220</v>
      </c>
      <c r="M89" s="26" t="s">
        <v>44</v>
      </c>
      <c r="N89" s="26" t="s">
        <v>44</v>
      </c>
      <c r="O89" s="26" t="s">
        <v>30</v>
      </c>
      <c r="P89" s="26" t="s">
        <v>31</v>
      </c>
      <c r="Q89" s="29" t="s">
        <v>156</v>
      </c>
      <c r="R89" s="27" t="s">
        <v>70</v>
      </c>
      <c r="S89" s="29">
        <v>12000</v>
      </c>
      <c r="T89" s="26">
        <v>2022</v>
      </c>
      <c r="U89" s="30">
        <v>202402</v>
      </c>
      <c r="V89" s="31">
        <v>45351</v>
      </c>
      <c r="W89" s="27" t="s">
        <v>47</v>
      </c>
      <c r="X89" s="26" t="s">
        <v>35</v>
      </c>
    </row>
    <row r="90" spans="1:24" x14ac:dyDescent="0.15">
      <c r="A90" s="26" t="s">
        <v>341</v>
      </c>
      <c r="B90" s="27" t="s">
        <v>227</v>
      </c>
      <c r="C90" s="27" t="s">
        <v>228</v>
      </c>
      <c r="D90" s="27" t="s">
        <v>23</v>
      </c>
      <c r="E90" s="27" t="s">
        <v>73</v>
      </c>
      <c r="F90" s="27" t="s">
        <v>485</v>
      </c>
      <c r="G90" s="28">
        <v>89500</v>
      </c>
      <c r="H90" s="28" t="s">
        <v>229</v>
      </c>
      <c r="I90" s="27" t="s">
        <v>230</v>
      </c>
      <c r="J90" s="27" t="s">
        <v>520</v>
      </c>
      <c r="K90" s="27" t="s">
        <v>521</v>
      </c>
      <c r="L90" s="27" t="s">
        <v>231</v>
      </c>
      <c r="M90" s="26" t="s">
        <v>165</v>
      </c>
      <c r="N90" s="26" t="s">
        <v>165</v>
      </c>
      <c r="O90" s="26" t="s">
        <v>30</v>
      </c>
      <c r="P90" s="26" t="s">
        <v>166</v>
      </c>
      <c r="Q90" s="29" t="s">
        <v>562</v>
      </c>
      <c r="R90" s="27" t="s">
        <v>70</v>
      </c>
      <c r="S90" s="29">
        <v>8000</v>
      </c>
      <c r="T90" s="26">
        <v>2023</v>
      </c>
      <c r="U90" s="30">
        <v>202403</v>
      </c>
      <c r="V90" s="31">
        <v>45382</v>
      </c>
      <c r="W90" s="27" t="s">
        <v>55</v>
      </c>
      <c r="X90" s="26" t="s">
        <v>35</v>
      </c>
    </row>
    <row r="91" spans="1:24" x14ac:dyDescent="0.15">
      <c r="A91" s="26" t="s">
        <v>342</v>
      </c>
      <c r="B91" s="27" t="s">
        <v>273</v>
      </c>
      <c r="C91" s="27" t="s">
        <v>274</v>
      </c>
      <c r="D91" s="27" t="s">
        <v>90</v>
      </c>
      <c r="E91" s="27" t="s">
        <v>91</v>
      </c>
      <c r="F91" s="27" t="s">
        <v>25</v>
      </c>
      <c r="G91" s="28">
        <v>35200</v>
      </c>
      <c r="H91" s="28" t="s">
        <v>41</v>
      </c>
      <c r="I91" s="27" t="s">
        <v>275</v>
      </c>
      <c r="J91" s="27" t="s">
        <v>530</v>
      </c>
      <c r="K91" s="27" t="s">
        <v>33</v>
      </c>
      <c r="L91" s="27" t="s">
        <v>276</v>
      </c>
      <c r="M91" s="26" t="s">
        <v>99</v>
      </c>
      <c r="N91" s="26" t="s">
        <v>99</v>
      </c>
      <c r="O91" s="26" t="s">
        <v>68</v>
      </c>
      <c r="P91" s="26" t="s">
        <v>31</v>
      </c>
      <c r="Q91" s="29" t="s">
        <v>60</v>
      </c>
      <c r="R91" s="27" t="s">
        <v>46</v>
      </c>
      <c r="S91" s="29">
        <v>25000</v>
      </c>
      <c r="T91" s="26">
        <v>2020</v>
      </c>
      <c r="U91" s="30">
        <v>202409</v>
      </c>
      <c r="V91" s="31">
        <v>45565</v>
      </c>
      <c r="W91" s="27" t="s">
        <v>134</v>
      </c>
      <c r="X91" s="26" t="s">
        <v>79</v>
      </c>
    </row>
    <row r="92" spans="1:24" x14ac:dyDescent="0.15">
      <c r="A92" s="26" t="s">
        <v>343</v>
      </c>
      <c r="B92" s="27" t="s">
        <v>222</v>
      </c>
      <c r="C92" s="27" t="s">
        <v>223</v>
      </c>
      <c r="D92" s="27" t="s">
        <v>90</v>
      </c>
      <c r="E92" s="27" t="s">
        <v>91</v>
      </c>
      <c r="F92" s="27" t="s">
        <v>25</v>
      </c>
      <c r="G92" s="28">
        <v>41200</v>
      </c>
      <c r="H92" s="28" t="s">
        <v>92</v>
      </c>
      <c r="I92" s="27" t="s">
        <v>236</v>
      </c>
      <c r="J92" s="27" t="s">
        <v>523</v>
      </c>
      <c r="K92" s="27" t="s">
        <v>33</v>
      </c>
      <c r="L92" s="27" t="s">
        <v>237</v>
      </c>
      <c r="M92" s="26" t="s">
        <v>84</v>
      </c>
      <c r="N92" s="26" t="s">
        <v>84</v>
      </c>
      <c r="O92" s="26" t="s">
        <v>85</v>
      </c>
      <c r="P92" s="26" t="s">
        <v>31</v>
      </c>
      <c r="Q92" s="29" t="s">
        <v>86</v>
      </c>
      <c r="R92" s="27" t="s">
        <v>46</v>
      </c>
      <c r="S92" s="29">
        <v>29000</v>
      </c>
      <c r="T92" s="26">
        <v>2020</v>
      </c>
      <c r="U92" s="30">
        <v>202403</v>
      </c>
      <c r="V92" s="31">
        <v>45382</v>
      </c>
      <c r="W92" s="27" t="s">
        <v>55</v>
      </c>
      <c r="X92" s="26" t="s">
        <v>35</v>
      </c>
    </row>
    <row r="93" spans="1:24" x14ac:dyDescent="0.15">
      <c r="A93" s="26" t="s">
        <v>344</v>
      </c>
      <c r="B93" s="27" t="s">
        <v>222</v>
      </c>
      <c r="C93" s="27" t="s">
        <v>283</v>
      </c>
      <c r="D93" s="27" t="s">
        <v>90</v>
      </c>
      <c r="E93" s="27" t="s">
        <v>91</v>
      </c>
      <c r="F93" s="27" t="s">
        <v>25</v>
      </c>
      <c r="G93" s="28">
        <v>27900</v>
      </c>
      <c r="H93" s="28" t="s">
        <v>41</v>
      </c>
      <c r="I93" s="27" t="s">
        <v>284</v>
      </c>
      <c r="J93" s="27" t="s">
        <v>532</v>
      </c>
      <c r="K93" s="27" t="s">
        <v>477</v>
      </c>
      <c r="L93" s="27" t="s">
        <v>285</v>
      </c>
      <c r="M93" s="26" t="s">
        <v>142</v>
      </c>
      <c r="N93" s="26" t="s">
        <v>142</v>
      </c>
      <c r="O93" s="26" t="s">
        <v>85</v>
      </c>
      <c r="P93" s="26" t="s">
        <v>31</v>
      </c>
      <c r="Q93" s="29" t="s">
        <v>286</v>
      </c>
      <c r="R93" s="27" t="s">
        <v>54</v>
      </c>
      <c r="S93" s="29">
        <v>13000</v>
      </c>
      <c r="T93" s="26">
        <v>2023</v>
      </c>
      <c r="U93" s="30">
        <v>202410</v>
      </c>
      <c r="V93" s="31">
        <v>45596</v>
      </c>
      <c r="W93" s="27" t="s">
        <v>157</v>
      </c>
      <c r="X93" s="26" t="s">
        <v>158</v>
      </c>
    </row>
    <row r="94" spans="1:24" x14ac:dyDescent="0.15">
      <c r="A94" s="26" t="s">
        <v>345</v>
      </c>
      <c r="B94" s="27" t="s">
        <v>222</v>
      </c>
      <c r="C94" s="27" t="s">
        <v>223</v>
      </c>
      <c r="D94" s="27" t="s">
        <v>90</v>
      </c>
      <c r="E94" s="27" t="s">
        <v>91</v>
      </c>
      <c r="F94" s="27" t="s">
        <v>25</v>
      </c>
      <c r="G94" s="28">
        <v>41200</v>
      </c>
      <c r="H94" s="28" t="s">
        <v>92</v>
      </c>
      <c r="I94" s="27" t="s">
        <v>236</v>
      </c>
      <c r="J94" s="27" t="s">
        <v>523</v>
      </c>
      <c r="K94" s="27" t="s">
        <v>33</v>
      </c>
      <c r="L94" s="27" t="s">
        <v>237</v>
      </c>
      <c r="M94" s="26" t="s">
        <v>84</v>
      </c>
      <c r="N94" s="26" t="s">
        <v>84</v>
      </c>
      <c r="O94" s="26" t="s">
        <v>85</v>
      </c>
      <c r="P94" s="26" t="s">
        <v>31</v>
      </c>
      <c r="Q94" s="29" t="s">
        <v>86</v>
      </c>
      <c r="R94" s="27" t="s">
        <v>46</v>
      </c>
      <c r="S94" s="29">
        <v>29000</v>
      </c>
      <c r="T94" s="26">
        <v>2020</v>
      </c>
      <c r="U94" s="30">
        <v>202403</v>
      </c>
      <c r="V94" s="31">
        <v>45382</v>
      </c>
      <c r="W94" s="27" t="s">
        <v>55</v>
      </c>
      <c r="X94" s="26" t="s">
        <v>35</v>
      </c>
    </row>
    <row r="95" spans="1:24" x14ac:dyDescent="0.15">
      <c r="A95" s="26" t="s">
        <v>346</v>
      </c>
      <c r="B95" s="27" t="s">
        <v>222</v>
      </c>
      <c r="C95" s="27" t="s">
        <v>268</v>
      </c>
      <c r="D95" s="27" t="s">
        <v>90</v>
      </c>
      <c r="E95" s="27" t="s">
        <v>91</v>
      </c>
      <c r="F95" s="27" t="s">
        <v>25</v>
      </c>
      <c r="G95" s="28">
        <v>22900</v>
      </c>
      <c r="H95" s="28" t="s">
        <v>26</v>
      </c>
      <c r="I95" s="27" t="s">
        <v>269</v>
      </c>
      <c r="J95" s="27" t="s">
        <v>529</v>
      </c>
      <c r="K95" s="27" t="s">
        <v>477</v>
      </c>
      <c r="L95" s="27" t="s">
        <v>270</v>
      </c>
      <c r="M95" s="26" t="s">
        <v>142</v>
      </c>
      <c r="N95" s="26" t="s">
        <v>142</v>
      </c>
      <c r="O95" s="26" t="s">
        <v>85</v>
      </c>
      <c r="P95" s="26" t="s">
        <v>31</v>
      </c>
      <c r="Q95" s="29" t="s">
        <v>271</v>
      </c>
      <c r="R95" s="27" t="s">
        <v>54</v>
      </c>
      <c r="S95" s="29">
        <v>45000</v>
      </c>
      <c r="T95" s="26">
        <v>2016</v>
      </c>
      <c r="U95" s="30">
        <v>202408</v>
      </c>
      <c r="V95" s="31">
        <v>45535</v>
      </c>
      <c r="W95" s="27" t="s">
        <v>108</v>
      </c>
      <c r="X95" s="26" t="s">
        <v>79</v>
      </c>
    </row>
    <row r="96" spans="1:24" x14ac:dyDescent="0.15">
      <c r="A96" s="26" t="s">
        <v>347</v>
      </c>
      <c r="B96" s="27" t="s">
        <v>222</v>
      </c>
      <c r="C96" s="27" t="s">
        <v>223</v>
      </c>
      <c r="D96" s="27" t="s">
        <v>90</v>
      </c>
      <c r="E96" s="27" t="s">
        <v>91</v>
      </c>
      <c r="F96" s="27" t="s">
        <v>25</v>
      </c>
      <c r="G96" s="28">
        <v>38900</v>
      </c>
      <c r="H96" s="28" t="s">
        <v>41</v>
      </c>
      <c r="I96" s="27" t="s">
        <v>224</v>
      </c>
      <c r="J96" s="27" t="s">
        <v>499</v>
      </c>
      <c r="K96" s="27" t="s">
        <v>519</v>
      </c>
      <c r="L96" s="27" t="s">
        <v>225</v>
      </c>
      <c r="M96" s="26" t="s">
        <v>142</v>
      </c>
      <c r="N96" s="26" t="s">
        <v>142</v>
      </c>
      <c r="O96" s="26" t="s">
        <v>85</v>
      </c>
      <c r="P96" s="26" t="s">
        <v>31</v>
      </c>
      <c r="Q96" s="29" t="s">
        <v>86</v>
      </c>
      <c r="R96" s="27" t="s">
        <v>101</v>
      </c>
      <c r="S96" s="29">
        <v>35000</v>
      </c>
      <c r="T96" s="26">
        <v>2020</v>
      </c>
      <c r="U96" s="30">
        <v>202402</v>
      </c>
      <c r="V96" s="31">
        <v>45351</v>
      </c>
      <c r="W96" s="27" t="s">
        <v>47</v>
      </c>
      <c r="X96" s="26" t="s">
        <v>35</v>
      </c>
    </row>
    <row r="97" spans="1:24" x14ac:dyDescent="0.15">
      <c r="A97" s="26" t="s">
        <v>348</v>
      </c>
      <c r="B97" s="27" t="s">
        <v>244</v>
      </c>
      <c r="C97" s="27" t="s">
        <v>300</v>
      </c>
      <c r="D97" s="27" t="s">
        <v>23</v>
      </c>
      <c r="E97" s="27" t="s">
        <v>73</v>
      </c>
      <c r="F97" s="27" t="s">
        <v>485</v>
      </c>
      <c r="G97" s="28">
        <v>69900</v>
      </c>
      <c r="H97" s="28" t="s">
        <v>229</v>
      </c>
      <c r="I97" s="27" t="s">
        <v>301</v>
      </c>
      <c r="J97" s="27" t="s">
        <v>536</v>
      </c>
      <c r="K97" s="27" t="s">
        <v>479</v>
      </c>
      <c r="L97" s="27" t="s">
        <v>302</v>
      </c>
      <c r="M97" s="26" t="s">
        <v>248</v>
      </c>
      <c r="N97" s="26" t="s">
        <v>248</v>
      </c>
      <c r="O97" s="26" t="s">
        <v>52</v>
      </c>
      <c r="P97" s="26" t="s">
        <v>31</v>
      </c>
      <c r="Q97" s="29" t="s">
        <v>190</v>
      </c>
      <c r="R97" s="27" t="s">
        <v>33</v>
      </c>
      <c r="S97" s="29">
        <v>6000</v>
      </c>
      <c r="T97" s="26">
        <v>2023</v>
      </c>
      <c r="U97" s="30">
        <v>202412</v>
      </c>
      <c r="V97" s="31">
        <v>45657</v>
      </c>
      <c r="W97" s="27" t="s">
        <v>197</v>
      </c>
      <c r="X97" s="26" t="s">
        <v>158</v>
      </c>
    </row>
    <row r="98" spans="1:24" x14ac:dyDescent="0.15">
      <c r="A98" s="26" t="s">
        <v>349</v>
      </c>
      <c r="B98" s="27" t="s">
        <v>244</v>
      </c>
      <c r="C98" s="27" t="s">
        <v>245</v>
      </c>
      <c r="D98" s="27" t="s">
        <v>23</v>
      </c>
      <c r="E98" s="27" t="s">
        <v>73</v>
      </c>
      <c r="F98" s="27" t="s">
        <v>485</v>
      </c>
      <c r="G98" s="28">
        <v>89900</v>
      </c>
      <c r="H98" s="28" t="s">
        <v>229</v>
      </c>
      <c r="I98" s="27" t="s">
        <v>246</v>
      </c>
      <c r="J98" s="27" t="s">
        <v>525</v>
      </c>
      <c r="K98" s="27" t="s">
        <v>468</v>
      </c>
      <c r="L98" s="27" t="s">
        <v>247</v>
      </c>
      <c r="M98" s="26" t="s">
        <v>248</v>
      </c>
      <c r="N98" s="26" t="s">
        <v>248</v>
      </c>
      <c r="O98" s="26" t="s">
        <v>52</v>
      </c>
      <c r="P98" s="26" t="s">
        <v>31</v>
      </c>
      <c r="Q98" s="29" t="s">
        <v>190</v>
      </c>
      <c r="R98" s="27" t="s">
        <v>101</v>
      </c>
      <c r="S98" s="29">
        <v>26000</v>
      </c>
      <c r="T98" s="26">
        <v>2020</v>
      </c>
      <c r="U98" s="30">
        <v>202407</v>
      </c>
      <c r="V98" s="31">
        <v>45504</v>
      </c>
      <c r="W98" s="27" t="s">
        <v>78</v>
      </c>
      <c r="X98" s="26" t="s">
        <v>79</v>
      </c>
    </row>
    <row r="99" spans="1:24" x14ac:dyDescent="0.15">
      <c r="A99" s="26" t="s">
        <v>350</v>
      </c>
      <c r="B99" s="27" t="s">
        <v>222</v>
      </c>
      <c r="C99" s="27" t="s">
        <v>268</v>
      </c>
      <c r="D99" s="27" t="s">
        <v>90</v>
      </c>
      <c r="E99" s="27" t="s">
        <v>91</v>
      </c>
      <c r="F99" s="27" t="s">
        <v>25</v>
      </c>
      <c r="G99" s="28">
        <v>22900</v>
      </c>
      <c r="H99" s="28" t="s">
        <v>26</v>
      </c>
      <c r="I99" s="27" t="s">
        <v>269</v>
      </c>
      <c r="J99" s="27" t="s">
        <v>529</v>
      </c>
      <c r="K99" s="27" t="s">
        <v>477</v>
      </c>
      <c r="L99" s="27" t="s">
        <v>270</v>
      </c>
      <c r="M99" s="26" t="s">
        <v>142</v>
      </c>
      <c r="N99" s="26" t="s">
        <v>142</v>
      </c>
      <c r="O99" s="26" t="s">
        <v>85</v>
      </c>
      <c r="P99" s="26" t="s">
        <v>31</v>
      </c>
      <c r="Q99" s="29" t="s">
        <v>271</v>
      </c>
      <c r="R99" s="27" t="s">
        <v>54</v>
      </c>
      <c r="S99" s="29">
        <v>45000</v>
      </c>
      <c r="T99" s="26">
        <v>2016</v>
      </c>
      <c r="U99" s="30">
        <v>202408</v>
      </c>
      <c r="V99" s="31">
        <v>45535</v>
      </c>
      <c r="W99" s="27" t="s">
        <v>108</v>
      </c>
      <c r="X99" s="26" t="s">
        <v>79</v>
      </c>
    </row>
    <row r="100" spans="1:24" x14ac:dyDescent="0.15">
      <c r="A100" s="26" t="s">
        <v>351</v>
      </c>
      <c r="B100" s="27" t="s">
        <v>212</v>
      </c>
      <c r="C100" s="27" t="s">
        <v>304</v>
      </c>
      <c r="D100" s="27" t="s">
        <v>262</v>
      </c>
      <c r="E100" s="27" t="s">
        <v>305</v>
      </c>
      <c r="F100" s="27" t="s">
        <v>25</v>
      </c>
      <c r="G100" s="28">
        <v>115900</v>
      </c>
      <c r="H100" s="28" t="s">
        <v>264</v>
      </c>
      <c r="I100" s="27" t="s">
        <v>306</v>
      </c>
      <c r="J100" s="27" t="s">
        <v>537</v>
      </c>
      <c r="K100" s="27" t="s">
        <v>519</v>
      </c>
      <c r="L100" s="27" t="s">
        <v>307</v>
      </c>
      <c r="M100" s="26" t="s">
        <v>183</v>
      </c>
      <c r="N100" s="26" t="s">
        <v>183</v>
      </c>
      <c r="O100" s="26" t="s">
        <v>85</v>
      </c>
      <c r="P100" s="26" t="s">
        <v>31</v>
      </c>
      <c r="Q100" s="29" t="s">
        <v>128</v>
      </c>
      <c r="R100" s="27" t="s">
        <v>46</v>
      </c>
      <c r="S100" s="29">
        <v>2500</v>
      </c>
      <c r="T100" s="26">
        <v>2024</v>
      </c>
      <c r="U100" s="30">
        <v>202412</v>
      </c>
      <c r="V100" s="31">
        <v>45657</v>
      </c>
      <c r="W100" s="27" t="s">
        <v>197</v>
      </c>
      <c r="X100" s="26" t="s">
        <v>158</v>
      </c>
    </row>
    <row r="101" spans="1:24" x14ac:dyDescent="0.15">
      <c r="A101" s="26" t="s">
        <v>352</v>
      </c>
      <c r="B101" s="27" t="s">
        <v>212</v>
      </c>
      <c r="C101" s="27" t="s">
        <v>304</v>
      </c>
      <c r="D101" s="27" t="s">
        <v>262</v>
      </c>
      <c r="E101" s="27" t="s">
        <v>305</v>
      </c>
      <c r="F101" s="27" t="s">
        <v>25</v>
      </c>
      <c r="G101" s="28">
        <v>115900</v>
      </c>
      <c r="H101" s="28" t="s">
        <v>264</v>
      </c>
      <c r="I101" s="27" t="s">
        <v>306</v>
      </c>
      <c r="J101" s="27" t="s">
        <v>537</v>
      </c>
      <c r="K101" s="27" t="s">
        <v>519</v>
      </c>
      <c r="L101" s="27" t="s">
        <v>307</v>
      </c>
      <c r="M101" s="26" t="s">
        <v>183</v>
      </c>
      <c r="N101" s="26" t="s">
        <v>183</v>
      </c>
      <c r="O101" s="26" t="s">
        <v>85</v>
      </c>
      <c r="P101" s="26" t="s">
        <v>31</v>
      </c>
      <c r="Q101" s="29" t="s">
        <v>128</v>
      </c>
      <c r="R101" s="27" t="s">
        <v>46</v>
      </c>
      <c r="S101" s="29">
        <v>2500</v>
      </c>
      <c r="T101" s="26">
        <v>2024</v>
      </c>
      <c r="U101" s="30">
        <v>202412</v>
      </c>
      <c r="V101" s="31">
        <v>45657</v>
      </c>
      <c r="W101" s="27" t="s">
        <v>197</v>
      </c>
      <c r="X101" s="26" t="s">
        <v>158</v>
      </c>
    </row>
    <row r="102" spans="1:24" x14ac:dyDescent="0.15">
      <c r="A102" s="26" t="s">
        <v>353</v>
      </c>
      <c r="B102" s="27" t="s">
        <v>222</v>
      </c>
      <c r="C102" s="27" t="s">
        <v>283</v>
      </c>
      <c r="D102" s="27" t="s">
        <v>90</v>
      </c>
      <c r="E102" s="27" t="s">
        <v>91</v>
      </c>
      <c r="F102" s="27" t="s">
        <v>25</v>
      </c>
      <c r="G102" s="28">
        <v>27900</v>
      </c>
      <c r="H102" s="28" t="s">
        <v>41</v>
      </c>
      <c r="I102" s="27" t="s">
        <v>284</v>
      </c>
      <c r="J102" s="27" t="s">
        <v>532</v>
      </c>
      <c r="K102" s="27" t="s">
        <v>477</v>
      </c>
      <c r="L102" s="27" t="s">
        <v>285</v>
      </c>
      <c r="M102" s="26" t="s">
        <v>142</v>
      </c>
      <c r="N102" s="26" t="s">
        <v>142</v>
      </c>
      <c r="O102" s="26" t="s">
        <v>85</v>
      </c>
      <c r="P102" s="26" t="s">
        <v>31</v>
      </c>
      <c r="Q102" s="29" t="s">
        <v>286</v>
      </c>
      <c r="R102" s="27" t="s">
        <v>54</v>
      </c>
      <c r="S102" s="29">
        <v>13000</v>
      </c>
      <c r="T102" s="26">
        <v>2023</v>
      </c>
      <c r="U102" s="30">
        <v>202410</v>
      </c>
      <c r="V102" s="31">
        <v>45596</v>
      </c>
      <c r="W102" s="27" t="s">
        <v>157</v>
      </c>
      <c r="X102" s="26" t="s">
        <v>158</v>
      </c>
    </row>
    <row r="103" spans="1:24" x14ac:dyDescent="0.15">
      <c r="A103" s="26" t="s">
        <v>354</v>
      </c>
      <c r="B103" s="27" t="s">
        <v>212</v>
      </c>
      <c r="C103" s="27" t="s">
        <v>213</v>
      </c>
      <c r="D103" s="27" t="s">
        <v>23</v>
      </c>
      <c r="E103" s="27" t="s">
        <v>73</v>
      </c>
      <c r="F103" s="27" t="s">
        <v>25</v>
      </c>
      <c r="G103" s="28">
        <v>26800</v>
      </c>
      <c r="H103" s="28" t="s">
        <v>41</v>
      </c>
      <c r="I103" s="27" t="s">
        <v>214</v>
      </c>
      <c r="J103" s="27" t="s">
        <v>515</v>
      </c>
      <c r="K103" s="27" t="s">
        <v>516</v>
      </c>
      <c r="L103" s="27" t="s">
        <v>215</v>
      </c>
      <c r="N103" s="26" t="s">
        <v>562</v>
      </c>
      <c r="O103" s="26" t="s">
        <v>52</v>
      </c>
      <c r="P103" s="26" t="s">
        <v>31</v>
      </c>
      <c r="Q103" s="29" t="s">
        <v>60</v>
      </c>
      <c r="R103" s="27" t="s">
        <v>54</v>
      </c>
      <c r="S103" s="29">
        <v>22000</v>
      </c>
      <c r="T103" s="26">
        <v>2020</v>
      </c>
      <c r="U103" s="30">
        <v>202402</v>
      </c>
      <c r="V103" s="31">
        <v>45351</v>
      </c>
      <c r="W103" s="27" t="s">
        <v>47</v>
      </c>
      <c r="X103" s="26" t="s">
        <v>35</v>
      </c>
    </row>
    <row r="104" spans="1:24" x14ac:dyDescent="0.15">
      <c r="A104" s="26" t="s">
        <v>355</v>
      </c>
      <c r="B104" s="27" t="s">
        <v>255</v>
      </c>
      <c r="C104" s="27" t="s">
        <v>278</v>
      </c>
      <c r="D104" s="27" t="s">
        <v>90</v>
      </c>
      <c r="E104" s="27" t="s">
        <v>91</v>
      </c>
      <c r="F104" s="27" t="s">
        <v>25</v>
      </c>
      <c r="G104" s="28">
        <v>22900</v>
      </c>
      <c r="H104" s="28" t="s">
        <v>26</v>
      </c>
      <c r="I104" s="27" t="s">
        <v>279</v>
      </c>
      <c r="J104" s="27" t="s">
        <v>531</v>
      </c>
      <c r="K104" s="27" t="s">
        <v>493</v>
      </c>
      <c r="L104" s="27" t="s">
        <v>280</v>
      </c>
      <c r="M104" s="26" t="s">
        <v>67</v>
      </c>
      <c r="N104" s="26" t="s">
        <v>67</v>
      </c>
      <c r="O104" s="26" t="s">
        <v>68</v>
      </c>
      <c r="P104" s="26" t="s">
        <v>31</v>
      </c>
      <c r="Q104" s="29" t="s">
        <v>281</v>
      </c>
      <c r="R104" s="27" t="s">
        <v>33</v>
      </c>
      <c r="S104" s="29">
        <v>19000</v>
      </c>
      <c r="T104" s="26">
        <v>2021</v>
      </c>
      <c r="U104" s="30">
        <v>202409</v>
      </c>
      <c r="V104" s="31">
        <v>45565</v>
      </c>
      <c r="W104" s="27" t="s">
        <v>134</v>
      </c>
      <c r="X104" s="26" t="s">
        <v>79</v>
      </c>
    </row>
    <row r="105" spans="1:24" x14ac:dyDescent="0.15">
      <c r="A105" s="26" t="s">
        <v>356</v>
      </c>
      <c r="B105" s="27" t="s">
        <v>212</v>
      </c>
      <c r="C105" s="27" t="s">
        <v>250</v>
      </c>
      <c r="D105" s="27" t="s">
        <v>90</v>
      </c>
      <c r="E105" s="27" t="s">
        <v>91</v>
      </c>
      <c r="F105" s="27" t="s">
        <v>25</v>
      </c>
      <c r="G105" s="28">
        <v>51200</v>
      </c>
      <c r="H105" s="28" t="s">
        <v>92</v>
      </c>
      <c r="I105" s="27" t="s">
        <v>251</v>
      </c>
      <c r="J105" s="27" t="s">
        <v>526</v>
      </c>
      <c r="K105" s="27" t="s">
        <v>496</v>
      </c>
      <c r="L105" s="27" t="s">
        <v>252</v>
      </c>
      <c r="M105" s="26" t="s">
        <v>183</v>
      </c>
      <c r="N105" s="26" t="s">
        <v>183</v>
      </c>
      <c r="O105" s="26" t="s">
        <v>85</v>
      </c>
      <c r="P105" s="26" t="s">
        <v>31</v>
      </c>
      <c r="Q105" s="29" t="s">
        <v>253</v>
      </c>
      <c r="R105" s="27" t="s">
        <v>61</v>
      </c>
      <c r="S105" s="29">
        <v>30000</v>
      </c>
      <c r="T105" s="26">
        <v>2020</v>
      </c>
      <c r="U105" s="30">
        <v>202407</v>
      </c>
      <c r="V105" s="31">
        <v>45504</v>
      </c>
      <c r="W105" s="27" t="s">
        <v>78</v>
      </c>
      <c r="X105" s="26" t="s">
        <v>79</v>
      </c>
    </row>
    <row r="106" spans="1:24" x14ac:dyDescent="0.15">
      <c r="A106" s="26" t="s">
        <v>357</v>
      </c>
      <c r="B106" s="27" t="s">
        <v>222</v>
      </c>
      <c r="C106" s="27" t="s">
        <v>223</v>
      </c>
      <c r="D106" s="27" t="s">
        <v>90</v>
      </c>
      <c r="E106" s="27" t="s">
        <v>91</v>
      </c>
      <c r="F106" s="27" t="s">
        <v>25</v>
      </c>
      <c r="G106" s="28">
        <v>41200</v>
      </c>
      <c r="H106" s="28" t="s">
        <v>92</v>
      </c>
      <c r="I106" s="27" t="s">
        <v>236</v>
      </c>
      <c r="J106" s="27" t="s">
        <v>523</v>
      </c>
      <c r="K106" s="27" t="s">
        <v>33</v>
      </c>
      <c r="L106" s="27" t="s">
        <v>237</v>
      </c>
      <c r="M106" s="26" t="s">
        <v>84</v>
      </c>
      <c r="N106" s="26" t="s">
        <v>84</v>
      </c>
      <c r="O106" s="26" t="s">
        <v>85</v>
      </c>
      <c r="P106" s="26" t="s">
        <v>31</v>
      </c>
      <c r="Q106" s="29" t="s">
        <v>86</v>
      </c>
      <c r="R106" s="27" t="s">
        <v>46</v>
      </c>
      <c r="S106" s="29">
        <v>29000</v>
      </c>
      <c r="T106" s="26">
        <v>2020</v>
      </c>
      <c r="U106" s="30">
        <v>202403</v>
      </c>
      <c r="V106" s="31">
        <v>45382</v>
      </c>
      <c r="W106" s="27" t="s">
        <v>55</v>
      </c>
      <c r="X106" s="26" t="s">
        <v>35</v>
      </c>
    </row>
    <row r="107" spans="1:24" x14ac:dyDescent="0.15">
      <c r="A107" s="26" t="s">
        <v>358</v>
      </c>
      <c r="B107" s="27" t="s">
        <v>21</v>
      </c>
      <c r="C107" s="27" t="s">
        <v>37</v>
      </c>
      <c r="D107" s="27" t="s">
        <v>38</v>
      </c>
      <c r="E107" s="27" t="s">
        <v>39</v>
      </c>
      <c r="F107" s="27" t="s">
        <v>40</v>
      </c>
      <c r="G107" s="28">
        <v>27000</v>
      </c>
      <c r="H107" s="28" t="s">
        <v>41</v>
      </c>
      <c r="I107" s="27" t="s">
        <v>359</v>
      </c>
      <c r="J107" s="27" t="s">
        <v>538</v>
      </c>
      <c r="K107" s="27" t="s">
        <v>484</v>
      </c>
      <c r="L107" s="27" t="s">
        <v>360</v>
      </c>
      <c r="M107" s="26" t="s">
        <v>248</v>
      </c>
      <c r="N107" s="26" t="s">
        <v>248</v>
      </c>
      <c r="O107" s="26" t="s">
        <v>52</v>
      </c>
      <c r="P107" s="26" t="s">
        <v>31</v>
      </c>
      <c r="Q107" s="29" t="s">
        <v>190</v>
      </c>
      <c r="R107" s="27" t="s">
        <v>101</v>
      </c>
      <c r="S107" s="29">
        <v>32000</v>
      </c>
      <c r="T107" s="26">
        <v>2020</v>
      </c>
      <c r="U107" s="30">
        <v>202404</v>
      </c>
      <c r="V107" s="31">
        <v>45412</v>
      </c>
      <c r="W107" s="27" t="s">
        <v>361</v>
      </c>
      <c r="X107" s="26" t="s">
        <v>362</v>
      </c>
    </row>
    <row r="108" spans="1:24" x14ac:dyDescent="0.15">
      <c r="A108" s="26" t="s">
        <v>363</v>
      </c>
      <c r="B108" s="27" t="s">
        <v>21</v>
      </c>
      <c r="C108" s="27" t="s">
        <v>37</v>
      </c>
      <c r="D108" s="27" t="s">
        <v>38</v>
      </c>
      <c r="E108" s="27" t="s">
        <v>39</v>
      </c>
      <c r="F108" s="27" t="s">
        <v>40</v>
      </c>
      <c r="G108" s="28">
        <v>27000</v>
      </c>
      <c r="H108" s="28" t="s">
        <v>41</v>
      </c>
      <c r="I108" s="27" t="s">
        <v>364</v>
      </c>
      <c r="J108" s="27" t="s">
        <v>539</v>
      </c>
      <c r="K108" s="27" t="s">
        <v>487</v>
      </c>
      <c r="L108" s="27" t="s">
        <v>365</v>
      </c>
      <c r="M108" s="26" t="s">
        <v>165</v>
      </c>
      <c r="N108" s="26" t="s">
        <v>165</v>
      </c>
      <c r="O108" s="26" t="s">
        <v>30</v>
      </c>
      <c r="P108" s="26" t="s">
        <v>166</v>
      </c>
      <c r="Q108" s="29" t="s">
        <v>562</v>
      </c>
      <c r="R108" s="27" t="s">
        <v>33</v>
      </c>
      <c r="S108" s="29">
        <v>12000</v>
      </c>
      <c r="T108" s="26">
        <v>2023</v>
      </c>
      <c r="U108" s="30">
        <v>202404</v>
      </c>
      <c r="V108" s="31">
        <v>45412</v>
      </c>
      <c r="W108" s="27" t="s">
        <v>361</v>
      </c>
      <c r="X108" s="26" t="s">
        <v>362</v>
      </c>
    </row>
    <row r="109" spans="1:24" x14ac:dyDescent="0.15">
      <c r="A109" s="26" t="s">
        <v>366</v>
      </c>
      <c r="B109" s="27" t="s">
        <v>21</v>
      </c>
      <c r="C109" s="27" t="s">
        <v>37</v>
      </c>
      <c r="D109" s="27" t="s">
        <v>23</v>
      </c>
      <c r="E109" s="27" t="s">
        <v>73</v>
      </c>
      <c r="F109" s="27" t="s">
        <v>25</v>
      </c>
      <c r="G109" s="28">
        <v>29500</v>
      </c>
      <c r="H109" s="28" t="s">
        <v>41</v>
      </c>
      <c r="I109" s="27" t="s">
        <v>367</v>
      </c>
      <c r="J109" s="27" t="s">
        <v>540</v>
      </c>
      <c r="K109" s="27" t="s">
        <v>468</v>
      </c>
      <c r="L109" s="27" t="s">
        <v>368</v>
      </c>
      <c r="M109" s="26" t="s">
        <v>76</v>
      </c>
      <c r="N109" s="26" t="s">
        <v>76</v>
      </c>
      <c r="O109" s="26" t="s">
        <v>30</v>
      </c>
      <c r="P109" s="26" t="s">
        <v>39</v>
      </c>
      <c r="Q109" s="29" t="s">
        <v>32</v>
      </c>
      <c r="R109" s="27" t="s">
        <v>61</v>
      </c>
      <c r="S109" s="29">
        <v>9000</v>
      </c>
      <c r="T109" s="26">
        <v>2023</v>
      </c>
      <c r="U109" s="30">
        <v>202404</v>
      </c>
      <c r="V109" s="31">
        <v>45412</v>
      </c>
      <c r="W109" s="27" t="s">
        <v>361</v>
      </c>
      <c r="X109" s="26" t="s">
        <v>362</v>
      </c>
    </row>
    <row r="110" spans="1:24" x14ac:dyDescent="0.15">
      <c r="A110" s="26" t="s">
        <v>369</v>
      </c>
      <c r="B110" s="27" t="s">
        <v>21</v>
      </c>
      <c r="C110" s="27" t="s">
        <v>37</v>
      </c>
      <c r="D110" s="27" t="s">
        <v>38</v>
      </c>
      <c r="E110" s="27" t="s">
        <v>39</v>
      </c>
      <c r="F110" s="27" t="s">
        <v>40</v>
      </c>
      <c r="G110" s="28">
        <v>27000</v>
      </c>
      <c r="H110" s="28" t="s">
        <v>41</v>
      </c>
      <c r="I110" s="27" t="s">
        <v>370</v>
      </c>
      <c r="J110" s="27" t="s">
        <v>541</v>
      </c>
      <c r="K110" s="27" t="s">
        <v>490</v>
      </c>
      <c r="L110" s="27" t="s">
        <v>371</v>
      </c>
      <c r="M110" s="26" t="s">
        <v>372</v>
      </c>
      <c r="N110" s="26" t="s">
        <v>372</v>
      </c>
      <c r="O110" s="26" t="s">
        <v>68</v>
      </c>
      <c r="P110" s="26" t="s">
        <v>31</v>
      </c>
      <c r="Q110" s="29" t="s">
        <v>53</v>
      </c>
      <c r="R110" s="27" t="s">
        <v>33</v>
      </c>
      <c r="S110" s="29">
        <v>20000</v>
      </c>
      <c r="T110" s="26">
        <v>2022</v>
      </c>
      <c r="U110" s="30">
        <v>202404</v>
      </c>
      <c r="V110" s="31">
        <v>45412</v>
      </c>
      <c r="W110" s="27" t="s">
        <v>361</v>
      </c>
      <c r="X110" s="26" t="s">
        <v>362</v>
      </c>
    </row>
    <row r="111" spans="1:24" x14ac:dyDescent="0.15">
      <c r="A111" s="26" t="s">
        <v>373</v>
      </c>
      <c r="B111" s="27" t="s">
        <v>21</v>
      </c>
      <c r="C111" s="27" t="s">
        <v>37</v>
      </c>
      <c r="D111" s="27" t="s">
        <v>38</v>
      </c>
      <c r="E111" s="27" t="s">
        <v>39</v>
      </c>
      <c r="F111" s="27" t="s">
        <v>40</v>
      </c>
      <c r="G111" s="28">
        <v>27000</v>
      </c>
      <c r="H111" s="28" t="s">
        <v>41</v>
      </c>
      <c r="I111" s="27" t="s">
        <v>374</v>
      </c>
      <c r="J111" s="27" t="s">
        <v>542</v>
      </c>
      <c r="K111" s="27" t="s">
        <v>33</v>
      </c>
      <c r="L111" s="27" t="s">
        <v>237</v>
      </c>
      <c r="M111" s="26" t="s">
        <v>248</v>
      </c>
      <c r="N111" s="26" t="s">
        <v>248</v>
      </c>
      <c r="O111" s="26" t="s">
        <v>52</v>
      </c>
      <c r="P111" s="26" t="s">
        <v>31</v>
      </c>
      <c r="Q111" s="29" t="s">
        <v>156</v>
      </c>
      <c r="R111" s="27" t="s">
        <v>46</v>
      </c>
      <c r="S111" s="29">
        <v>28000</v>
      </c>
      <c r="T111" s="26">
        <v>2020</v>
      </c>
      <c r="U111" s="30">
        <v>202405</v>
      </c>
      <c r="V111" s="31">
        <v>45443</v>
      </c>
      <c r="W111" s="27" t="s">
        <v>375</v>
      </c>
      <c r="X111" s="26" t="s">
        <v>362</v>
      </c>
    </row>
    <row r="112" spans="1:24" x14ac:dyDescent="0.15">
      <c r="A112" s="26" t="s">
        <v>376</v>
      </c>
      <c r="B112" s="27" t="s">
        <v>21</v>
      </c>
      <c r="C112" s="27" t="s">
        <v>103</v>
      </c>
      <c r="D112" s="27" t="s">
        <v>90</v>
      </c>
      <c r="E112" s="27" t="s">
        <v>482</v>
      </c>
      <c r="F112" s="27" t="s">
        <v>25</v>
      </c>
      <c r="G112" s="28">
        <v>35800</v>
      </c>
      <c r="H112" s="28" t="s">
        <v>41</v>
      </c>
      <c r="I112" s="27" t="s">
        <v>377</v>
      </c>
      <c r="J112" s="27" t="s">
        <v>543</v>
      </c>
      <c r="K112" s="27" t="s">
        <v>484</v>
      </c>
      <c r="L112" s="27" t="s">
        <v>378</v>
      </c>
      <c r="M112" s="26" t="s">
        <v>29</v>
      </c>
      <c r="N112" s="26" t="s">
        <v>29</v>
      </c>
      <c r="O112" s="26" t="s">
        <v>30</v>
      </c>
      <c r="P112" s="26" t="s">
        <v>31</v>
      </c>
      <c r="Q112" s="29" t="s">
        <v>60</v>
      </c>
      <c r="R112" s="27" t="s">
        <v>54</v>
      </c>
      <c r="S112" s="29">
        <v>11000</v>
      </c>
      <c r="T112" s="26">
        <v>2023</v>
      </c>
      <c r="U112" s="30">
        <v>202405</v>
      </c>
      <c r="V112" s="31">
        <v>45443</v>
      </c>
      <c r="W112" s="27" t="s">
        <v>375</v>
      </c>
      <c r="X112" s="26" t="s">
        <v>362</v>
      </c>
    </row>
    <row r="113" spans="1:24" x14ac:dyDescent="0.15">
      <c r="A113" s="26" t="s">
        <v>379</v>
      </c>
      <c r="B113" s="27" t="s">
        <v>21</v>
      </c>
      <c r="C113" s="27" t="s">
        <v>37</v>
      </c>
      <c r="D113" s="27" t="s">
        <v>38</v>
      </c>
      <c r="E113" s="27" t="s">
        <v>39</v>
      </c>
      <c r="F113" s="27" t="s">
        <v>40</v>
      </c>
      <c r="G113" s="28">
        <v>27000</v>
      </c>
      <c r="H113" s="28" t="s">
        <v>41</v>
      </c>
      <c r="I113" s="27" t="s">
        <v>380</v>
      </c>
      <c r="J113" s="27" t="s">
        <v>544</v>
      </c>
      <c r="K113" s="27" t="s">
        <v>487</v>
      </c>
      <c r="L113" s="27" t="s">
        <v>381</v>
      </c>
      <c r="M113" s="26" t="s">
        <v>382</v>
      </c>
      <c r="N113" s="26" t="s">
        <v>382</v>
      </c>
      <c r="O113" s="26" t="s">
        <v>85</v>
      </c>
      <c r="P113" s="26" t="s">
        <v>31</v>
      </c>
      <c r="Q113" s="29" t="s">
        <v>60</v>
      </c>
      <c r="R113" s="27" t="s">
        <v>61</v>
      </c>
      <c r="S113" s="29">
        <v>24000</v>
      </c>
      <c r="T113" s="26">
        <v>2021</v>
      </c>
      <c r="U113" s="30">
        <v>202405</v>
      </c>
      <c r="V113" s="31">
        <v>45443</v>
      </c>
      <c r="W113" s="27" t="s">
        <v>375</v>
      </c>
      <c r="X113" s="26" t="s">
        <v>362</v>
      </c>
    </row>
    <row r="114" spans="1:24" x14ac:dyDescent="0.15">
      <c r="A114" s="26" t="s">
        <v>383</v>
      </c>
      <c r="B114" s="27" t="s">
        <v>21</v>
      </c>
      <c r="C114" s="27" t="s">
        <v>103</v>
      </c>
      <c r="D114" s="27" t="s">
        <v>90</v>
      </c>
      <c r="E114" s="27" t="s">
        <v>482</v>
      </c>
      <c r="F114" s="27" t="s">
        <v>25</v>
      </c>
      <c r="G114" s="28">
        <v>32000</v>
      </c>
      <c r="H114" s="28" t="s">
        <v>41</v>
      </c>
      <c r="I114" s="27" t="s">
        <v>384</v>
      </c>
      <c r="J114" s="27" t="s">
        <v>478</v>
      </c>
      <c r="K114" s="27" t="s">
        <v>472</v>
      </c>
      <c r="L114" s="27" t="s">
        <v>385</v>
      </c>
      <c r="M114" s="26" t="s">
        <v>248</v>
      </c>
      <c r="N114" s="26" t="s">
        <v>248</v>
      </c>
      <c r="O114" s="26" t="s">
        <v>52</v>
      </c>
      <c r="P114" s="26" t="s">
        <v>31</v>
      </c>
      <c r="Q114" s="29" t="s">
        <v>156</v>
      </c>
      <c r="R114" s="27" t="s">
        <v>54</v>
      </c>
      <c r="S114" s="29">
        <v>21000</v>
      </c>
      <c r="T114" s="26">
        <v>2021</v>
      </c>
      <c r="U114" s="30">
        <v>202405</v>
      </c>
      <c r="V114" s="31">
        <v>45443</v>
      </c>
      <c r="W114" s="27" t="s">
        <v>375</v>
      </c>
      <c r="X114" s="26" t="s">
        <v>362</v>
      </c>
    </row>
    <row r="115" spans="1:24" x14ac:dyDescent="0.15">
      <c r="A115" s="26" t="s">
        <v>386</v>
      </c>
      <c r="B115" s="27" t="s">
        <v>21</v>
      </c>
      <c r="C115" s="27" t="s">
        <v>110</v>
      </c>
      <c r="D115" s="27" t="s">
        <v>90</v>
      </c>
      <c r="E115" s="27" t="s">
        <v>91</v>
      </c>
      <c r="F115" s="27" t="s">
        <v>25</v>
      </c>
      <c r="G115" s="28">
        <v>44800</v>
      </c>
      <c r="H115" s="28" t="s">
        <v>92</v>
      </c>
      <c r="I115" s="27" t="s">
        <v>387</v>
      </c>
      <c r="J115" s="27" t="s">
        <v>545</v>
      </c>
      <c r="K115" s="27" t="s">
        <v>33</v>
      </c>
      <c r="L115" s="27" t="s">
        <v>388</v>
      </c>
      <c r="M115" s="26" t="s">
        <v>29</v>
      </c>
      <c r="N115" s="26" t="s">
        <v>29</v>
      </c>
      <c r="O115" s="26" t="s">
        <v>30</v>
      </c>
      <c r="P115" s="26" t="s">
        <v>31</v>
      </c>
      <c r="Q115" s="29" t="s">
        <v>77</v>
      </c>
      <c r="R115" s="27" t="s">
        <v>101</v>
      </c>
      <c r="S115" s="29">
        <v>18000</v>
      </c>
      <c r="T115" s="26">
        <v>2022</v>
      </c>
      <c r="U115" s="30">
        <v>202406</v>
      </c>
      <c r="V115" s="31">
        <v>45473</v>
      </c>
      <c r="W115" s="27" t="s">
        <v>389</v>
      </c>
      <c r="X115" s="26" t="s">
        <v>362</v>
      </c>
    </row>
    <row r="116" spans="1:24" x14ac:dyDescent="0.15">
      <c r="A116" s="26" t="s">
        <v>390</v>
      </c>
      <c r="B116" s="27" t="s">
        <v>21</v>
      </c>
      <c r="C116" s="27" t="s">
        <v>110</v>
      </c>
      <c r="D116" s="27" t="s">
        <v>90</v>
      </c>
      <c r="E116" s="27" t="s">
        <v>482</v>
      </c>
      <c r="F116" s="27" t="s">
        <v>485</v>
      </c>
      <c r="G116" s="28">
        <v>43000</v>
      </c>
      <c r="H116" s="28" t="s">
        <v>92</v>
      </c>
      <c r="I116" s="27" t="s">
        <v>391</v>
      </c>
      <c r="J116" s="27" t="s">
        <v>546</v>
      </c>
      <c r="K116" s="27" t="s">
        <v>484</v>
      </c>
      <c r="L116" s="27" t="s">
        <v>392</v>
      </c>
      <c r="M116" s="26" t="s">
        <v>142</v>
      </c>
      <c r="N116" s="26" t="s">
        <v>142</v>
      </c>
      <c r="O116" s="26" t="s">
        <v>85</v>
      </c>
      <c r="P116" s="26" t="s">
        <v>31</v>
      </c>
      <c r="Q116" s="29" t="s">
        <v>45</v>
      </c>
      <c r="R116" s="27" t="s">
        <v>54</v>
      </c>
      <c r="S116" s="29">
        <v>20000</v>
      </c>
      <c r="T116" s="26">
        <v>2021</v>
      </c>
      <c r="U116" s="30">
        <v>202406</v>
      </c>
      <c r="V116" s="31">
        <v>45473</v>
      </c>
      <c r="W116" s="27" t="s">
        <v>389</v>
      </c>
      <c r="X116" s="26" t="s">
        <v>362</v>
      </c>
    </row>
    <row r="117" spans="1:24" x14ac:dyDescent="0.15">
      <c r="A117" s="26" t="s">
        <v>393</v>
      </c>
      <c r="B117" s="27" t="s">
        <v>21</v>
      </c>
      <c r="C117" s="27" t="s">
        <v>103</v>
      </c>
      <c r="D117" s="27" t="s">
        <v>90</v>
      </c>
      <c r="E117" s="27" t="s">
        <v>482</v>
      </c>
      <c r="F117" s="27" t="s">
        <v>25</v>
      </c>
      <c r="G117" s="28">
        <v>32000</v>
      </c>
      <c r="H117" s="28" t="s">
        <v>41</v>
      </c>
      <c r="I117" s="27" t="s">
        <v>394</v>
      </c>
      <c r="J117" s="27" t="s">
        <v>547</v>
      </c>
      <c r="K117" s="27" t="s">
        <v>468</v>
      </c>
      <c r="L117" s="27" t="s">
        <v>395</v>
      </c>
      <c r="M117" s="26" t="s">
        <v>248</v>
      </c>
      <c r="N117" s="26" t="s">
        <v>248</v>
      </c>
      <c r="O117" s="26" t="s">
        <v>52</v>
      </c>
      <c r="P117" s="26" t="s">
        <v>31</v>
      </c>
      <c r="Q117" s="29" t="s">
        <v>156</v>
      </c>
      <c r="R117" s="27" t="s">
        <v>46</v>
      </c>
      <c r="S117" s="29">
        <v>15000</v>
      </c>
      <c r="T117" s="26">
        <v>2022</v>
      </c>
      <c r="U117" s="30">
        <v>202406</v>
      </c>
      <c r="V117" s="31">
        <v>45473</v>
      </c>
      <c r="W117" s="27" t="s">
        <v>389</v>
      </c>
      <c r="X117" s="26" t="s">
        <v>362</v>
      </c>
    </row>
    <row r="118" spans="1:24" x14ac:dyDescent="0.15">
      <c r="A118" s="26" t="s">
        <v>396</v>
      </c>
      <c r="B118" s="27" t="s">
        <v>21</v>
      </c>
      <c r="C118" s="27" t="s">
        <v>397</v>
      </c>
      <c r="D118" s="27" t="s">
        <v>398</v>
      </c>
      <c r="E118" s="27" t="s">
        <v>399</v>
      </c>
      <c r="F118" s="27" t="s">
        <v>25</v>
      </c>
      <c r="G118" s="28">
        <v>33500</v>
      </c>
      <c r="H118" s="28" t="s">
        <v>41</v>
      </c>
      <c r="I118" s="27" t="s">
        <v>400</v>
      </c>
      <c r="J118" s="27" t="s">
        <v>548</v>
      </c>
      <c r="K118" s="27" t="s">
        <v>519</v>
      </c>
      <c r="L118" s="27" t="s">
        <v>401</v>
      </c>
      <c r="M118" s="26" t="s">
        <v>29</v>
      </c>
      <c r="N118" s="26" t="s">
        <v>29</v>
      </c>
      <c r="O118" s="26" t="s">
        <v>30</v>
      </c>
      <c r="P118" s="26" t="s">
        <v>31</v>
      </c>
      <c r="Q118" s="29" t="s">
        <v>133</v>
      </c>
      <c r="R118" s="27" t="s">
        <v>101</v>
      </c>
      <c r="S118" s="29">
        <v>21000</v>
      </c>
      <c r="T118" s="26">
        <v>2020</v>
      </c>
      <c r="U118" s="30">
        <v>202406</v>
      </c>
      <c r="V118" s="31">
        <v>45473</v>
      </c>
      <c r="W118" s="27" t="s">
        <v>389</v>
      </c>
      <c r="X118" s="26" t="s">
        <v>362</v>
      </c>
    </row>
    <row r="119" spans="1:24" x14ac:dyDescent="0.15">
      <c r="A119" s="26" t="s">
        <v>402</v>
      </c>
      <c r="B119" s="27" t="s">
        <v>21</v>
      </c>
      <c r="C119" s="27" t="s">
        <v>110</v>
      </c>
      <c r="D119" s="27" t="s">
        <v>90</v>
      </c>
      <c r="E119" s="27" t="s">
        <v>482</v>
      </c>
      <c r="F119" s="27" t="s">
        <v>485</v>
      </c>
      <c r="G119" s="28">
        <v>43000</v>
      </c>
      <c r="H119" s="28" t="s">
        <v>92</v>
      </c>
      <c r="I119" s="27" t="s">
        <v>403</v>
      </c>
      <c r="J119" s="27" t="s">
        <v>549</v>
      </c>
      <c r="K119" s="27" t="s">
        <v>33</v>
      </c>
      <c r="L119" s="27" t="s">
        <v>404</v>
      </c>
      <c r="M119" s="26" t="s">
        <v>165</v>
      </c>
      <c r="N119" s="26" t="s">
        <v>165</v>
      </c>
      <c r="O119" s="26" t="s">
        <v>30</v>
      </c>
      <c r="P119" s="26" t="s">
        <v>166</v>
      </c>
      <c r="Q119" s="29" t="s">
        <v>562</v>
      </c>
      <c r="R119" s="27" t="s">
        <v>54</v>
      </c>
      <c r="S119" s="29">
        <v>1000</v>
      </c>
      <c r="T119" s="26">
        <v>2024</v>
      </c>
      <c r="U119" s="30">
        <v>202406</v>
      </c>
      <c r="V119" s="31">
        <v>45473</v>
      </c>
      <c r="W119" s="27" t="s">
        <v>389</v>
      </c>
      <c r="X119" s="26" t="s">
        <v>362</v>
      </c>
    </row>
    <row r="120" spans="1:24" x14ac:dyDescent="0.15">
      <c r="A120" s="26" t="s">
        <v>405</v>
      </c>
      <c r="B120" s="27" t="s">
        <v>207</v>
      </c>
      <c r="C120" s="27" t="s">
        <v>406</v>
      </c>
      <c r="D120" s="27" t="s">
        <v>23</v>
      </c>
      <c r="E120" s="27" t="s">
        <v>73</v>
      </c>
      <c r="F120" s="27" t="s">
        <v>25</v>
      </c>
      <c r="G120" s="28">
        <v>29800</v>
      </c>
      <c r="H120" s="28" t="s">
        <v>41</v>
      </c>
      <c r="I120" s="27" t="s">
        <v>407</v>
      </c>
      <c r="J120" s="27" t="s">
        <v>486</v>
      </c>
      <c r="K120" s="27" t="s">
        <v>479</v>
      </c>
      <c r="L120" s="27" t="s">
        <v>408</v>
      </c>
      <c r="M120" s="26" t="s">
        <v>147</v>
      </c>
      <c r="N120" s="26" t="s">
        <v>147</v>
      </c>
      <c r="O120" s="26" t="s">
        <v>52</v>
      </c>
      <c r="P120" s="26" t="s">
        <v>31</v>
      </c>
      <c r="Q120" s="29" t="s">
        <v>53</v>
      </c>
      <c r="R120" s="27" t="s">
        <v>46</v>
      </c>
      <c r="S120" s="29">
        <v>22000</v>
      </c>
      <c r="T120" s="26">
        <v>2021</v>
      </c>
      <c r="U120" s="30">
        <v>202404</v>
      </c>
      <c r="V120" s="31">
        <v>45412</v>
      </c>
      <c r="W120" s="27" t="s">
        <v>361</v>
      </c>
      <c r="X120" s="26" t="s">
        <v>362</v>
      </c>
    </row>
    <row r="121" spans="1:24" x14ac:dyDescent="0.15">
      <c r="A121" s="26" t="s">
        <v>409</v>
      </c>
      <c r="B121" s="27" t="s">
        <v>227</v>
      </c>
      <c r="C121" s="27" t="s">
        <v>410</v>
      </c>
      <c r="D121" s="27" t="s">
        <v>90</v>
      </c>
      <c r="E121" s="27" t="s">
        <v>91</v>
      </c>
      <c r="F121" s="27" t="s">
        <v>485</v>
      </c>
      <c r="G121" s="28">
        <v>10435</v>
      </c>
      <c r="H121" s="28" t="s">
        <v>92</v>
      </c>
      <c r="I121" s="27" t="s">
        <v>411</v>
      </c>
      <c r="J121" s="27" t="s">
        <v>550</v>
      </c>
      <c r="K121" s="27" t="s">
        <v>475</v>
      </c>
      <c r="L121" s="27" t="s">
        <v>66</v>
      </c>
      <c r="M121" s="26" t="s">
        <v>165</v>
      </c>
      <c r="N121" s="26" t="s">
        <v>165</v>
      </c>
      <c r="O121" s="26" t="s">
        <v>30</v>
      </c>
      <c r="P121" s="26" t="s">
        <v>166</v>
      </c>
      <c r="Q121" s="29" t="s">
        <v>562</v>
      </c>
      <c r="R121" s="27" t="s">
        <v>101</v>
      </c>
      <c r="S121" s="29">
        <v>6000</v>
      </c>
      <c r="T121" s="26">
        <v>2024</v>
      </c>
      <c r="U121" s="30">
        <v>202405</v>
      </c>
      <c r="V121" s="31">
        <v>45443</v>
      </c>
      <c r="W121" s="27" t="s">
        <v>375</v>
      </c>
      <c r="X121" s="26" t="s">
        <v>362</v>
      </c>
    </row>
    <row r="122" spans="1:24" x14ac:dyDescent="0.15">
      <c r="A122" s="26" t="s">
        <v>412</v>
      </c>
      <c r="B122" s="27" t="s">
        <v>21</v>
      </c>
      <c r="C122" s="27" t="s">
        <v>37</v>
      </c>
      <c r="D122" s="27" t="s">
        <v>38</v>
      </c>
      <c r="E122" s="27" t="s">
        <v>39</v>
      </c>
      <c r="F122" s="27" t="s">
        <v>40</v>
      </c>
      <c r="G122" s="28">
        <v>27000</v>
      </c>
      <c r="H122" s="28" t="s">
        <v>41</v>
      </c>
      <c r="I122" s="27" t="s">
        <v>359</v>
      </c>
      <c r="J122" s="27" t="s">
        <v>538</v>
      </c>
      <c r="K122" s="27" t="s">
        <v>484</v>
      </c>
      <c r="L122" s="27" t="s">
        <v>360</v>
      </c>
      <c r="M122" s="26" t="s">
        <v>248</v>
      </c>
      <c r="N122" s="26" t="s">
        <v>248</v>
      </c>
      <c r="O122" s="26" t="s">
        <v>52</v>
      </c>
      <c r="P122" s="26" t="s">
        <v>31</v>
      </c>
      <c r="Q122" s="29" t="s">
        <v>190</v>
      </c>
      <c r="R122" s="27" t="s">
        <v>101</v>
      </c>
      <c r="S122" s="29">
        <v>32000</v>
      </c>
      <c r="T122" s="26">
        <v>2020</v>
      </c>
      <c r="U122" s="30">
        <v>202404</v>
      </c>
      <c r="V122" s="31">
        <v>45412</v>
      </c>
      <c r="W122" s="27" t="s">
        <v>361</v>
      </c>
      <c r="X122" s="26" t="s">
        <v>362</v>
      </c>
    </row>
    <row r="123" spans="1:24" x14ac:dyDescent="0.15">
      <c r="A123" s="26" t="s">
        <v>413</v>
      </c>
      <c r="B123" s="27" t="s">
        <v>21</v>
      </c>
      <c r="C123" s="27" t="s">
        <v>37</v>
      </c>
      <c r="D123" s="27" t="s">
        <v>38</v>
      </c>
      <c r="E123" s="27" t="s">
        <v>39</v>
      </c>
      <c r="F123" s="27" t="s">
        <v>40</v>
      </c>
      <c r="G123" s="28">
        <v>27000</v>
      </c>
      <c r="H123" s="28" t="s">
        <v>41</v>
      </c>
      <c r="I123" s="27" t="s">
        <v>364</v>
      </c>
      <c r="J123" s="27" t="s">
        <v>539</v>
      </c>
      <c r="K123" s="27" t="s">
        <v>487</v>
      </c>
      <c r="L123" s="27" t="s">
        <v>365</v>
      </c>
      <c r="M123" s="26" t="s">
        <v>165</v>
      </c>
      <c r="N123" s="26" t="s">
        <v>165</v>
      </c>
      <c r="O123" s="26" t="s">
        <v>30</v>
      </c>
      <c r="P123" s="26" t="s">
        <v>166</v>
      </c>
      <c r="Q123" s="29" t="s">
        <v>562</v>
      </c>
      <c r="R123" s="27" t="s">
        <v>33</v>
      </c>
      <c r="S123" s="29">
        <v>12000</v>
      </c>
      <c r="T123" s="26">
        <v>2023</v>
      </c>
      <c r="U123" s="30">
        <v>202404</v>
      </c>
      <c r="V123" s="31">
        <v>45412</v>
      </c>
      <c r="W123" s="27" t="s">
        <v>361</v>
      </c>
      <c r="X123" s="26" t="s">
        <v>362</v>
      </c>
    </row>
    <row r="124" spans="1:24" x14ac:dyDescent="0.15">
      <c r="A124" s="26" t="s">
        <v>414</v>
      </c>
      <c r="B124" s="27" t="s">
        <v>21</v>
      </c>
      <c r="C124" s="27" t="s">
        <v>37</v>
      </c>
      <c r="D124" s="27" t="s">
        <v>23</v>
      </c>
      <c r="E124" s="27" t="s">
        <v>73</v>
      </c>
      <c r="F124" s="27" t="s">
        <v>25</v>
      </c>
      <c r="G124" s="28">
        <v>29500</v>
      </c>
      <c r="H124" s="28" t="s">
        <v>41</v>
      </c>
      <c r="I124" s="27" t="s">
        <v>367</v>
      </c>
      <c r="J124" s="27" t="s">
        <v>540</v>
      </c>
      <c r="K124" s="27" t="s">
        <v>468</v>
      </c>
      <c r="L124" s="27" t="s">
        <v>368</v>
      </c>
      <c r="M124" s="26" t="s">
        <v>76</v>
      </c>
      <c r="N124" s="26" t="s">
        <v>76</v>
      </c>
      <c r="O124" s="26" t="s">
        <v>30</v>
      </c>
      <c r="P124" s="26" t="s">
        <v>39</v>
      </c>
      <c r="Q124" s="29" t="s">
        <v>32</v>
      </c>
      <c r="R124" s="27" t="s">
        <v>61</v>
      </c>
      <c r="S124" s="29">
        <v>9000</v>
      </c>
      <c r="T124" s="26">
        <v>2023</v>
      </c>
      <c r="U124" s="30">
        <v>202404</v>
      </c>
      <c r="V124" s="31">
        <v>45412</v>
      </c>
      <c r="W124" s="27" t="s">
        <v>361</v>
      </c>
      <c r="X124" s="26" t="s">
        <v>362</v>
      </c>
    </row>
    <row r="125" spans="1:24" x14ac:dyDescent="0.15">
      <c r="A125" s="26" t="s">
        <v>415</v>
      </c>
      <c r="B125" s="27" t="s">
        <v>21</v>
      </c>
      <c r="C125" s="27" t="s">
        <v>37</v>
      </c>
      <c r="D125" s="27" t="s">
        <v>38</v>
      </c>
      <c r="E125" s="27" t="s">
        <v>39</v>
      </c>
      <c r="F125" s="27" t="s">
        <v>40</v>
      </c>
      <c r="G125" s="28">
        <v>27000</v>
      </c>
      <c r="H125" s="28" t="s">
        <v>41</v>
      </c>
      <c r="I125" s="27" t="s">
        <v>370</v>
      </c>
      <c r="J125" s="27" t="s">
        <v>541</v>
      </c>
      <c r="K125" s="27" t="s">
        <v>490</v>
      </c>
      <c r="L125" s="27" t="s">
        <v>371</v>
      </c>
      <c r="M125" s="26" t="s">
        <v>372</v>
      </c>
      <c r="N125" s="26" t="s">
        <v>372</v>
      </c>
      <c r="O125" s="26" t="s">
        <v>68</v>
      </c>
      <c r="P125" s="26" t="s">
        <v>31</v>
      </c>
      <c r="Q125" s="29" t="s">
        <v>53</v>
      </c>
      <c r="R125" s="27" t="s">
        <v>33</v>
      </c>
      <c r="S125" s="29">
        <v>20000</v>
      </c>
      <c r="T125" s="26">
        <v>2022</v>
      </c>
      <c r="U125" s="30">
        <v>202404</v>
      </c>
      <c r="V125" s="31">
        <v>45412</v>
      </c>
      <c r="W125" s="27" t="s">
        <v>361</v>
      </c>
      <c r="X125" s="26" t="s">
        <v>362</v>
      </c>
    </row>
    <row r="126" spans="1:24" x14ac:dyDescent="0.15">
      <c r="A126" s="26" t="s">
        <v>416</v>
      </c>
      <c r="B126" s="27" t="s">
        <v>21</v>
      </c>
      <c r="C126" s="27" t="s">
        <v>37</v>
      </c>
      <c r="D126" s="27" t="s">
        <v>38</v>
      </c>
      <c r="E126" s="27" t="s">
        <v>39</v>
      </c>
      <c r="F126" s="27" t="s">
        <v>40</v>
      </c>
      <c r="G126" s="28">
        <v>27000</v>
      </c>
      <c r="H126" s="28" t="s">
        <v>41</v>
      </c>
      <c r="I126" s="27" t="s">
        <v>374</v>
      </c>
      <c r="J126" s="27" t="s">
        <v>542</v>
      </c>
      <c r="K126" s="27" t="s">
        <v>33</v>
      </c>
      <c r="L126" s="27" t="s">
        <v>237</v>
      </c>
      <c r="M126" s="26" t="s">
        <v>248</v>
      </c>
      <c r="N126" s="26" t="s">
        <v>248</v>
      </c>
      <c r="O126" s="26" t="s">
        <v>52</v>
      </c>
      <c r="P126" s="26" t="s">
        <v>31</v>
      </c>
      <c r="Q126" s="29" t="s">
        <v>156</v>
      </c>
      <c r="R126" s="27" t="s">
        <v>46</v>
      </c>
      <c r="S126" s="29">
        <v>28000</v>
      </c>
      <c r="T126" s="26">
        <v>2020</v>
      </c>
      <c r="U126" s="30">
        <v>202405</v>
      </c>
      <c r="V126" s="31">
        <v>45443</v>
      </c>
      <c r="W126" s="27" t="s">
        <v>375</v>
      </c>
      <c r="X126" s="26" t="s">
        <v>362</v>
      </c>
    </row>
    <row r="127" spans="1:24" x14ac:dyDescent="0.15">
      <c r="A127" s="26" t="s">
        <v>417</v>
      </c>
      <c r="B127" s="27" t="s">
        <v>21</v>
      </c>
      <c r="C127" s="27" t="s">
        <v>103</v>
      </c>
      <c r="D127" s="27" t="s">
        <v>90</v>
      </c>
      <c r="E127" s="27" t="s">
        <v>482</v>
      </c>
      <c r="F127" s="27" t="s">
        <v>25</v>
      </c>
      <c r="G127" s="28">
        <v>35800</v>
      </c>
      <c r="H127" s="28" t="s">
        <v>41</v>
      </c>
      <c r="I127" s="27" t="s">
        <v>377</v>
      </c>
      <c r="J127" s="27" t="s">
        <v>543</v>
      </c>
      <c r="K127" s="27" t="s">
        <v>484</v>
      </c>
      <c r="L127" s="27" t="s">
        <v>378</v>
      </c>
      <c r="M127" s="26" t="s">
        <v>29</v>
      </c>
      <c r="N127" s="26" t="s">
        <v>29</v>
      </c>
      <c r="O127" s="26" t="s">
        <v>30</v>
      </c>
      <c r="P127" s="26" t="s">
        <v>31</v>
      </c>
      <c r="Q127" s="29" t="s">
        <v>60</v>
      </c>
      <c r="R127" s="27" t="s">
        <v>54</v>
      </c>
      <c r="S127" s="29">
        <v>11000</v>
      </c>
      <c r="T127" s="26">
        <v>2023</v>
      </c>
      <c r="U127" s="30">
        <v>202405</v>
      </c>
      <c r="V127" s="31">
        <v>45443</v>
      </c>
      <c r="W127" s="27" t="s">
        <v>375</v>
      </c>
      <c r="X127" s="26" t="s">
        <v>362</v>
      </c>
    </row>
    <row r="128" spans="1:24" x14ac:dyDescent="0.15">
      <c r="A128" s="26" t="s">
        <v>418</v>
      </c>
      <c r="B128" s="27" t="s">
        <v>21</v>
      </c>
      <c r="C128" s="27" t="s">
        <v>37</v>
      </c>
      <c r="D128" s="27" t="s">
        <v>38</v>
      </c>
      <c r="E128" s="27" t="s">
        <v>39</v>
      </c>
      <c r="F128" s="27" t="s">
        <v>40</v>
      </c>
      <c r="G128" s="28">
        <v>27000</v>
      </c>
      <c r="H128" s="28" t="s">
        <v>41</v>
      </c>
      <c r="I128" s="27" t="s">
        <v>380</v>
      </c>
      <c r="J128" s="27" t="s">
        <v>544</v>
      </c>
      <c r="K128" s="27" t="s">
        <v>487</v>
      </c>
      <c r="L128" s="27" t="s">
        <v>381</v>
      </c>
      <c r="M128" s="26" t="s">
        <v>382</v>
      </c>
      <c r="N128" s="26" t="s">
        <v>382</v>
      </c>
      <c r="O128" s="26" t="s">
        <v>85</v>
      </c>
      <c r="P128" s="26" t="s">
        <v>31</v>
      </c>
      <c r="Q128" s="29" t="s">
        <v>60</v>
      </c>
      <c r="R128" s="27" t="s">
        <v>61</v>
      </c>
      <c r="S128" s="29">
        <v>24000</v>
      </c>
      <c r="T128" s="26">
        <v>2021</v>
      </c>
      <c r="U128" s="30">
        <v>202405</v>
      </c>
      <c r="V128" s="31">
        <v>45443</v>
      </c>
      <c r="W128" s="27" t="s">
        <v>375</v>
      </c>
      <c r="X128" s="26" t="s">
        <v>362</v>
      </c>
    </row>
    <row r="129" spans="1:24" x14ac:dyDescent="0.15">
      <c r="A129" s="26" t="s">
        <v>419</v>
      </c>
      <c r="B129" s="27" t="s">
        <v>21</v>
      </c>
      <c r="C129" s="27" t="s">
        <v>103</v>
      </c>
      <c r="D129" s="27" t="s">
        <v>90</v>
      </c>
      <c r="E129" s="27" t="s">
        <v>482</v>
      </c>
      <c r="F129" s="27" t="s">
        <v>25</v>
      </c>
      <c r="G129" s="28">
        <v>32000</v>
      </c>
      <c r="H129" s="28" t="s">
        <v>41</v>
      </c>
      <c r="I129" s="27" t="s">
        <v>384</v>
      </c>
      <c r="J129" s="27" t="s">
        <v>478</v>
      </c>
      <c r="K129" s="27" t="s">
        <v>472</v>
      </c>
      <c r="L129" s="27" t="s">
        <v>385</v>
      </c>
      <c r="M129" s="26" t="s">
        <v>248</v>
      </c>
      <c r="N129" s="26" t="s">
        <v>248</v>
      </c>
      <c r="O129" s="26" t="s">
        <v>52</v>
      </c>
      <c r="P129" s="26" t="s">
        <v>31</v>
      </c>
      <c r="Q129" s="29" t="s">
        <v>156</v>
      </c>
      <c r="R129" s="27" t="s">
        <v>54</v>
      </c>
      <c r="S129" s="29">
        <v>21000</v>
      </c>
      <c r="T129" s="26">
        <v>2021</v>
      </c>
      <c r="U129" s="30">
        <v>202405</v>
      </c>
      <c r="V129" s="31">
        <v>45443</v>
      </c>
      <c r="W129" s="27" t="s">
        <v>375</v>
      </c>
      <c r="X129" s="26" t="s">
        <v>362</v>
      </c>
    </row>
    <row r="130" spans="1:24" x14ac:dyDescent="0.15">
      <c r="A130" s="26" t="s">
        <v>420</v>
      </c>
      <c r="B130" s="27" t="s">
        <v>21</v>
      </c>
      <c r="C130" s="27" t="s">
        <v>110</v>
      </c>
      <c r="D130" s="27" t="s">
        <v>90</v>
      </c>
      <c r="E130" s="27" t="s">
        <v>91</v>
      </c>
      <c r="F130" s="27" t="s">
        <v>25</v>
      </c>
      <c r="G130" s="28">
        <v>44800</v>
      </c>
      <c r="H130" s="28" t="s">
        <v>92</v>
      </c>
      <c r="I130" s="27" t="s">
        <v>387</v>
      </c>
      <c r="J130" s="27" t="s">
        <v>545</v>
      </c>
      <c r="K130" s="27" t="s">
        <v>33</v>
      </c>
      <c r="L130" s="27" t="s">
        <v>388</v>
      </c>
      <c r="M130" s="26" t="s">
        <v>29</v>
      </c>
      <c r="N130" s="26" t="s">
        <v>29</v>
      </c>
      <c r="O130" s="26" t="s">
        <v>30</v>
      </c>
      <c r="P130" s="26" t="s">
        <v>31</v>
      </c>
      <c r="Q130" s="29" t="s">
        <v>77</v>
      </c>
      <c r="R130" s="27" t="s">
        <v>101</v>
      </c>
      <c r="S130" s="29">
        <v>18000</v>
      </c>
      <c r="T130" s="26">
        <v>2022</v>
      </c>
      <c r="U130" s="30">
        <v>202406</v>
      </c>
      <c r="V130" s="31">
        <v>45473</v>
      </c>
      <c r="W130" s="27" t="s">
        <v>389</v>
      </c>
      <c r="X130" s="26" t="s">
        <v>362</v>
      </c>
    </row>
    <row r="131" spans="1:24" x14ac:dyDescent="0.15">
      <c r="A131" s="26" t="s">
        <v>421</v>
      </c>
      <c r="B131" s="27" t="s">
        <v>21</v>
      </c>
      <c r="C131" s="27" t="s">
        <v>110</v>
      </c>
      <c r="D131" s="27" t="s">
        <v>90</v>
      </c>
      <c r="E131" s="27" t="s">
        <v>482</v>
      </c>
      <c r="F131" s="27" t="s">
        <v>485</v>
      </c>
      <c r="G131" s="28">
        <v>43000</v>
      </c>
      <c r="H131" s="28" t="s">
        <v>92</v>
      </c>
      <c r="I131" s="27" t="s">
        <v>391</v>
      </c>
      <c r="J131" s="27" t="s">
        <v>546</v>
      </c>
      <c r="K131" s="27" t="s">
        <v>484</v>
      </c>
      <c r="L131" s="27" t="s">
        <v>392</v>
      </c>
      <c r="M131" s="26" t="s">
        <v>142</v>
      </c>
      <c r="N131" s="26" t="s">
        <v>142</v>
      </c>
      <c r="O131" s="26" t="s">
        <v>85</v>
      </c>
      <c r="P131" s="26" t="s">
        <v>31</v>
      </c>
      <c r="Q131" s="29" t="s">
        <v>45</v>
      </c>
      <c r="R131" s="27" t="s">
        <v>54</v>
      </c>
      <c r="S131" s="29">
        <v>20000</v>
      </c>
      <c r="T131" s="26">
        <v>2021</v>
      </c>
      <c r="U131" s="30">
        <v>202406</v>
      </c>
      <c r="V131" s="31">
        <v>45473</v>
      </c>
      <c r="W131" s="27" t="s">
        <v>389</v>
      </c>
      <c r="X131" s="26" t="s">
        <v>362</v>
      </c>
    </row>
    <row r="132" spans="1:24" x14ac:dyDescent="0.15">
      <c r="A132" s="26" t="s">
        <v>422</v>
      </c>
      <c r="B132" s="27" t="s">
        <v>21</v>
      </c>
      <c r="C132" s="27" t="s">
        <v>103</v>
      </c>
      <c r="D132" s="27" t="s">
        <v>90</v>
      </c>
      <c r="E132" s="27" t="s">
        <v>482</v>
      </c>
      <c r="F132" s="27" t="s">
        <v>25</v>
      </c>
      <c r="G132" s="28">
        <v>32000</v>
      </c>
      <c r="H132" s="28" t="s">
        <v>41</v>
      </c>
      <c r="I132" s="27" t="s">
        <v>394</v>
      </c>
      <c r="J132" s="27" t="s">
        <v>547</v>
      </c>
      <c r="K132" s="27" t="s">
        <v>468</v>
      </c>
      <c r="L132" s="27" t="s">
        <v>395</v>
      </c>
      <c r="M132" s="26" t="s">
        <v>248</v>
      </c>
      <c r="N132" s="26" t="s">
        <v>248</v>
      </c>
      <c r="O132" s="26" t="s">
        <v>52</v>
      </c>
      <c r="P132" s="26" t="s">
        <v>31</v>
      </c>
      <c r="Q132" s="29" t="s">
        <v>156</v>
      </c>
      <c r="R132" s="27" t="s">
        <v>46</v>
      </c>
      <c r="S132" s="29">
        <v>15000</v>
      </c>
      <c r="T132" s="26">
        <v>2022</v>
      </c>
      <c r="U132" s="30">
        <v>202406</v>
      </c>
      <c r="V132" s="31">
        <v>45473</v>
      </c>
      <c r="W132" s="27" t="s">
        <v>389</v>
      </c>
      <c r="X132" s="26" t="s">
        <v>362</v>
      </c>
    </row>
    <row r="133" spans="1:24" x14ac:dyDescent="0.15">
      <c r="A133" s="26" t="s">
        <v>423</v>
      </c>
      <c r="B133" s="27" t="s">
        <v>21</v>
      </c>
      <c r="C133" s="27" t="s">
        <v>397</v>
      </c>
      <c r="D133" s="27" t="s">
        <v>398</v>
      </c>
      <c r="E133" s="27" t="s">
        <v>399</v>
      </c>
      <c r="F133" s="27" t="s">
        <v>25</v>
      </c>
      <c r="G133" s="28">
        <v>33500</v>
      </c>
      <c r="H133" s="28" t="s">
        <v>41</v>
      </c>
      <c r="I133" s="27" t="s">
        <v>400</v>
      </c>
      <c r="J133" s="27" t="s">
        <v>548</v>
      </c>
      <c r="K133" s="27" t="s">
        <v>519</v>
      </c>
      <c r="L133" s="27" t="s">
        <v>401</v>
      </c>
      <c r="M133" s="26" t="s">
        <v>29</v>
      </c>
      <c r="N133" s="26" t="s">
        <v>29</v>
      </c>
      <c r="O133" s="26" t="s">
        <v>30</v>
      </c>
      <c r="P133" s="26" t="s">
        <v>31</v>
      </c>
      <c r="Q133" s="29" t="s">
        <v>133</v>
      </c>
      <c r="R133" s="27" t="s">
        <v>101</v>
      </c>
      <c r="S133" s="29">
        <v>21000</v>
      </c>
      <c r="T133" s="26">
        <v>2020</v>
      </c>
      <c r="U133" s="30">
        <v>202406</v>
      </c>
      <c r="V133" s="31">
        <v>45473</v>
      </c>
      <c r="W133" s="27" t="s">
        <v>389</v>
      </c>
      <c r="X133" s="26" t="s">
        <v>362</v>
      </c>
    </row>
    <row r="134" spans="1:24" x14ac:dyDescent="0.15">
      <c r="A134" s="26" t="s">
        <v>424</v>
      </c>
      <c r="B134" s="27" t="s">
        <v>21</v>
      </c>
      <c r="C134" s="27" t="s">
        <v>110</v>
      </c>
      <c r="D134" s="27" t="s">
        <v>90</v>
      </c>
      <c r="E134" s="27" t="s">
        <v>482</v>
      </c>
      <c r="F134" s="27" t="s">
        <v>485</v>
      </c>
      <c r="G134" s="28">
        <v>43000</v>
      </c>
      <c r="H134" s="28" t="s">
        <v>92</v>
      </c>
      <c r="I134" s="27" t="s">
        <v>403</v>
      </c>
      <c r="J134" s="27" t="s">
        <v>549</v>
      </c>
      <c r="K134" s="27" t="s">
        <v>33</v>
      </c>
      <c r="L134" s="27" t="s">
        <v>404</v>
      </c>
      <c r="M134" s="26" t="s">
        <v>165</v>
      </c>
      <c r="N134" s="26" t="s">
        <v>165</v>
      </c>
      <c r="O134" s="26" t="s">
        <v>30</v>
      </c>
      <c r="P134" s="26" t="s">
        <v>166</v>
      </c>
      <c r="Q134" s="29" t="s">
        <v>562</v>
      </c>
      <c r="R134" s="27" t="s">
        <v>54</v>
      </c>
      <c r="S134" s="29">
        <v>1000</v>
      </c>
      <c r="T134" s="26">
        <v>2024</v>
      </c>
      <c r="U134" s="30">
        <v>202406</v>
      </c>
      <c r="V134" s="31">
        <v>45473</v>
      </c>
      <c r="W134" s="27" t="s">
        <v>389</v>
      </c>
      <c r="X134" s="26" t="s">
        <v>362</v>
      </c>
    </row>
    <row r="135" spans="1:24" x14ac:dyDescent="0.15">
      <c r="A135" s="26" t="s">
        <v>425</v>
      </c>
      <c r="B135" s="27" t="s">
        <v>207</v>
      </c>
      <c r="C135" s="27" t="s">
        <v>406</v>
      </c>
      <c r="D135" s="27" t="s">
        <v>23</v>
      </c>
      <c r="E135" s="27" t="s">
        <v>73</v>
      </c>
      <c r="F135" s="27" t="s">
        <v>25</v>
      </c>
      <c r="G135" s="28">
        <v>29800</v>
      </c>
      <c r="H135" s="28" t="s">
        <v>41</v>
      </c>
      <c r="I135" s="27" t="s">
        <v>407</v>
      </c>
      <c r="J135" s="27" t="s">
        <v>486</v>
      </c>
      <c r="K135" s="27" t="s">
        <v>479</v>
      </c>
      <c r="L135" s="27" t="s">
        <v>408</v>
      </c>
      <c r="M135" s="26" t="s">
        <v>147</v>
      </c>
      <c r="N135" s="26" t="s">
        <v>147</v>
      </c>
      <c r="O135" s="26" t="s">
        <v>52</v>
      </c>
      <c r="P135" s="26" t="s">
        <v>31</v>
      </c>
      <c r="Q135" s="29" t="s">
        <v>53</v>
      </c>
      <c r="R135" s="27" t="s">
        <v>46</v>
      </c>
      <c r="S135" s="29">
        <v>22000</v>
      </c>
      <c r="T135" s="26">
        <v>2021</v>
      </c>
      <c r="U135" s="30">
        <v>202404</v>
      </c>
      <c r="V135" s="31">
        <v>45412</v>
      </c>
      <c r="W135" s="27" t="s">
        <v>361</v>
      </c>
      <c r="X135" s="26" t="s">
        <v>362</v>
      </c>
    </row>
    <row r="136" spans="1:24" x14ac:dyDescent="0.15">
      <c r="A136" s="26" t="s">
        <v>426</v>
      </c>
      <c r="B136" s="27" t="s">
        <v>227</v>
      </c>
      <c r="C136" s="27" t="s">
        <v>410</v>
      </c>
      <c r="D136" s="27" t="s">
        <v>90</v>
      </c>
      <c r="E136" s="27" t="s">
        <v>91</v>
      </c>
      <c r="F136" s="27" t="s">
        <v>485</v>
      </c>
      <c r="G136" s="28">
        <v>10435</v>
      </c>
      <c r="H136" s="28" t="s">
        <v>92</v>
      </c>
      <c r="I136" s="27" t="s">
        <v>411</v>
      </c>
      <c r="J136" s="27" t="s">
        <v>550</v>
      </c>
      <c r="K136" s="27" t="s">
        <v>475</v>
      </c>
      <c r="L136" s="27" t="s">
        <v>66</v>
      </c>
      <c r="M136" s="26" t="s">
        <v>165</v>
      </c>
      <c r="N136" s="26" t="s">
        <v>165</v>
      </c>
      <c r="O136" s="26" t="s">
        <v>30</v>
      </c>
      <c r="P136" s="26" t="s">
        <v>166</v>
      </c>
      <c r="Q136" s="29" t="s">
        <v>562</v>
      </c>
      <c r="R136" s="27" t="s">
        <v>101</v>
      </c>
      <c r="S136" s="29">
        <v>6000</v>
      </c>
      <c r="T136" s="26">
        <v>2024</v>
      </c>
      <c r="U136" s="30">
        <v>202405</v>
      </c>
      <c r="V136" s="31">
        <v>45443</v>
      </c>
      <c r="W136" s="27" t="s">
        <v>375</v>
      </c>
      <c r="X136" s="26" t="s">
        <v>362</v>
      </c>
    </row>
    <row r="137" spans="1:24" x14ac:dyDescent="0.15">
      <c r="A137" s="26" t="s">
        <v>427</v>
      </c>
      <c r="B137" s="27" t="s">
        <v>21</v>
      </c>
      <c r="C137" s="27" t="s">
        <v>37</v>
      </c>
      <c r="D137" s="27" t="s">
        <v>38</v>
      </c>
      <c r="E137" s="27" t="s">
        <v>39</v>
      </c>
      <c r="F137" s="27" t="s">
        <v>40</v>
      </c>
      <c r="G137" s="28">
        <v>27000</v>
      </c>
      <c r="H137" s="28" t="s">
        <v>41</v>
      </c>
      <c r="I137" s="27" t="s">
        <v>359</v>
      </c>
      <c r="J137" s="27" t="s">
        <v>538</v>
      </c>
      <c r="K137" s="27" t="s">
        <v>484</v>
      </c>
      <c r="L137" s="27" t="s">
        <v>360</v>
      </c>
      <c r="M137" s="26" t="s">
        <v>248</v>
      </c>
      <c r="N137" s="26" t="s">
        <v>248</v>
      </c>
      <c r="O137" s="26" t="s">
        <v>52</v>
      </c>
      <c r="P137" s="26" t="s">
        <v>31</v>
      </c>
      <c r="Q137" s="29" t="s">
        <v>190</v>
      </c>
      <c r="R137" s="27" t="s">
        <v>101</v>
      </c>
      <c r="S137" s="29">
        <v>32000</v>
      </c>
      <c r="T137" s="26">
        <v>2020</v>
      </c>
      <c r="U137" s="30">
        <v>202404</v>
      </c>
      <c r="V137" s="31">
        <v>45412</v>
      </c>
      <c r="W137" s="27" t="s">
        <v>361</v>
      </c>
      <c r="X137" s="26" t="s">
        <v>362</v>
      </c>
    </row>
    <row r="138" spans="1:24" x14ac:dyDescent="0.15">
      <c r="A138" s="26" t="s">
        <v>428</v>
      </c>
      <c r="B138" s="27" t="s">
        <v>21</v>
      </c>
      <c r="C138" s="27" t="s">
        <v>37</v>
      </c>
      <c r="D138" s="27" t="s">
        <v>38</v>
      </c>
      <c r="E138" s="27" t="s">
        <v>39</v>
      </c>
      <c r="F138" s="27" t="s">
        <v>40</v>
      </c>
      <c r="G138" s="28">
        <v>27000</v>
      </c>
      <c r="H138" s="28" t="s">
        <v>41</v>
      </c>
      <c r="I138" s="27" t="s">
        <v>364</v>
      </c>
      <c r="J138" s="27" t="s">
        <v>539</v>
      </c>
      <c r="K138" s="27" t="s">
        <v>487</v>
      </c>
      <c r="L138" s="27" t="s">
        <v>365</v>
      </c>
      <c r="M138" s="26" t="s">
        <v>165</v>
      </c>
      <c r="N138" s="26" t="s">
        <v>165</v>
      </c>
      <c r="O138" s="26" t="s">
        <v>30</v>
      </c>
      <c r="P138" s="26" t="s">
        <v>166</v>
      </c>
      <c r="Q138" s="29" t="s">
        <v>562</v>
      </c>
      <c r="R138" s="27" t="s">
        <v>33</v>
      </c>
      <c r="S138" s="29">
        <v>12000</v>
      </c>
      <c r="T138" s="26">
        <v>2023</v>
      </c>
      <c r="U138" s="30">
        <v>202404</v>
      </c>
      <c r="V138" s="31">
        <v>45412</v>
      </c>
      <c r="W138" s="27" t="s">
        <v>361</v>
      </c>
      <c r="X138" s="26" t="s">
        <v>362</v>
      </c>
    </row>
    <row r="139" spans="1:24" x14ac:dyDescent="0.15">
      <c r="A139" s="26" t="s">
        <v>429</v>
      </c>
      <c r="B139" s="27" t="s">
        <v>21</v>
      </c>
      <c r="C139" s="27" t="s">
        <v>37</v>
      </c>
      <c r="D139" s="27" t="s">
        <v>23</v>
      </c>
      <c r="E139" s="27" t="s">
        <v>73</v>
      </c>
      <c r="F139" s="27" t="s">
        <v>25</v>
      </c>
      <c r="G139" s="28">
        <v>29500</v>
      </c>
      <c r="H139" s="28" t="s">
        <v>41</v>
      </c>
      <c r="I139" s="27" t="s">
        <v>367</v>
      </c>
      <c r="J139" s="27" t="s">
        <v>540</v>
      </c>
      <c r="K139" s="27" t="s">
        <v>468</v>
      </c>
      <c r="L139" s="27" t="s">
        <v>368</v>
      </c>
      <c r="M139" s="26" t="s">
        <v>76</v>
      </c>
      <c r="N139" s="26" t="s">
        <v>76</v>
      </c>
      <c r="O139" s="26" t="s">
        <v>30</v>
      </c>
      <c r="P139" s="26" t="s">
        <v>39</v>
      </c>
      <c r="Q139" s="29" t="s">
        <v>32</v>
      </c>
      <c r="R139" s="27" t="s">
        <v>61</v>
      </c>
      <c r="S139" s="29">
        <v>9000</v>
      </c>
      <c r="T139" s="26">
        <v>2023</v>
      </c>
      <c r="U139" s="30">
        <v>202404</v>
      </c>
      <c r="V139" s="31">
        <v>45412</v>
      </c>
      <c r="W139" s="27" t="s">
        <v>361</v>
      </c>
      <c r="X139" s="26" t="s">
        <v>362</v>
      </c>
    </row>
    <row r="140" spans="1:24" x14ac:dyDescent="0.15">
      <c r="A140" s="26" t="s">
        <v>430</v>
      </c>
      <c r="B140" s="27" t="s">
        <v>21</v>
      </c>
      <c r="C140" s="27" t="s">
        <v>37</v>
      </c>
      <c r="D140" s="27" t="s">
        <v>38</v>
      </c>
      <c r="E140" s="27" t="s">
        <v>39</v>
      </c>
      <c r="F140" s="27" t="s">
        <v>40</v>
      </c>
      <c r="G140" s="28">
        <v>27000</v>
      </c>
      <c r="H140" s="28" t="s">
        <v>41</v>
      </c>
      <c r="I140" s="27" t="s">
        <v>370</v>
      </c>
      <c r="J140" s="27" t="s">
        <v>541</v>
      </c>
      <c r="K140" s="27" t="s">
        <v>490</v>
      </c>
      <c r="L140" s="27" t="s">
        <v>371</v>
      </c>
      <c r="M140" s="26" t="s">
        <v>372</v>
      </c>
      <c r="N140" s="26" t="s">
        <v>372</v>
      </c>
      <c r="O140" s="26" t="s">
        <v>68</v>
      </c>
      <c r="P140" s="26" t="s">
        <v>31</v>
      </c>
      <c r="Q140" s="29" t="s">
        <v>53</v>
      </c>
      <c r="R140" s="27" t="s">
        <v>33</v>
      </c>
      <c r="S140" s="29">
        <v>20000</v>
      </c>
      <c r="T140" s="26">
        <v>2022</v>
      </c>
      <c r="U140" s="30">
        <v>202404</v>
      </c>
      <c r="V140" s="31">
        <v>45412</v>
      </c>
      <c r="W140" s="27" t="s">
        <v>361</v>
      </c>
      <c r="X140" s="26" t="s">
        <v>362</v>
      </c>
    </row>
    <row r="141" spans="1:24" x14ac:dyDescent="0.15">
      <c r="A141" s="26" t="s">
        <v>431</v>
      </c>
      <c r="B141" s="27" t="s">
        <v>21</v>
      </c>
      <c r="C141" s="27" t="s">
        <v>37</v>
      </c>
      <c r="D141" s="27" t="s">
        <v>38</v>
      </c>
      <c r="E141" s="27" t="s">
        <v>39</v>
      </c>
      <c r="F141" s="27" t="s">
        <v>40</v>
      </c>
      <c r="G141" s="28">
        <v>27000</v>
      </c>
      <c r="H141" s="28" t="s">
        <v>41</v>
      </c>
      <c r="I141" s="27" t="s">
        <v>374</v>
      </c>
      <c r="J141" s="27" t="s">
        <v>542</v>
      </c>
      <c r="K141" s="27" t="s">
        <v>33</v>
      </c>
      <c r="L141" s="27" t="s">
        <v>237</v>
      </c>
      <c r="M141" s="26" t="s">
        <v>248</v>
      </c>
      <c r="N141" s="26" t="s">
        <v>248</v>
      </c>
      <c r="O141" s="26" t="s">
        <v>52</v>
      </c>
      <c r="P141" s="26" t="s">
        <v>31</v>
      </c>
      <c r="Q141" s="29" t="s">
        <v>156</v>
      </c>
      <c r="R141" s="27" t="s">
        <v>46</v>
      </c>
      <c r="S141" s="29">
        <v>28000</v>
      </c>
      <c r="T141" s="26">
        <v>2020</v>
      </c>
      <c r="U141" s="30">
        <v>202405</v>
      </c>
      <c r="V141" s="31">
        <v>45443</v>
      </c>
      <c r="W141" s="27" t="s">
        <v>375</v>
      </c>
      <c r="X141" s="26" t="s">
        <v>362</v>
      </c>
    </row>
    <row r="142" spans="1:24" x14ac:dyDescent="0.15">
      <c r="A142" s="26" t="s">
        <v>432</v>
      </c>
      <c r="B142" s="27" t="s">
        <v>21</v>
      </c>
      <c r="C142" s="27" t="s">
        <v>103</v>
      </c>
      <c r="D142" s="27" t="s">
        <v>90</v>
      </c>
      <c r="E142" s="27" t="s">
        <v>482</v>
      </c>
      <c r="F142" s="27" t="s">
        <v>25</v>
      </c>
      <c r="G142" s="28">
        <v>35800</v>
      </c>
      <c r="H142" s="28" t="s">
        <v>41</v>
      </c>
      <c r="I142" s="27" t="s">
        <v>377</v>
      </c>
      <c r="J142" s="27" t="s">
        <v>543</v>
      </c>
      <c r="K142" s="27" t="s">
        <v>484</v>
      </c>
      <c r="L142" s="27" t="s">
        <v>378</v>
      </c>
      <c r="M142" s="26" t="s">
        <v>29</v>
      </c>
      <c r="N142" s="26" t="s">
        <v>29</v>
      </c>
      <c r="O142" s="26" t="s">
        <v>30</v>
      </c>
      <c r="P142" s="26" t="s">
        <v>31</v>
      </c>
      <c r="Q142" s="29" t="s">
        <v>60</v>
      </c>
      <c r="R142" s="27" t="s">
        <v>54</v>
      </c>
      <c r="S142" s="29">
        <v>11000</v>
      </c>
      <c r="T142" s="26">
        <v>2023</v>
      </c>
      <c r="U142" s="30">
        <v>202405</v>
      </c>
      <c r="V142" s="31">
        <v>45443</v>
      </c>
      <c r="W142" s="27" t="s">
        <v>375</v>
      </c>
      <c r="X142" s="26" t="s">
        <v>362</v>
      </c>
    </row>
    <row r="143" spans="1:24" x14ac:dyDescent="0.15">
      <c r="A143" s="26" t="s">
        <v>433</v>
      </c>
      <c r="B143" s="27" t="s">
        <v>21</v>
      </c>
      <c r="C143" s="27" t="s">
        <v>37</v>
      </c>
      <c r="D143" s="27" t="s">
        <v>38</v>
      </c>
      <c r="E143" s="27" t="s">
        <v>39</v>
      </c>
      <c r="F143" s="27" t="s">
        <v>40</v>
      </c>
      <c r="G143" s="28">
        <v>27000</v>
      </c>
      <c r="H143" s="28" t="s">
        <v>41</v>
      </c>
      <c r="I143" s="27" t="s">
        <v>380</v>
      </c>
      <c r="J143" s="27" t="s">
        <v>544</v>
      </c>
      <c r="K143" s="27" t="s">
        <v>487</v>
      </c>
      <c r="L143" s="27" t="s">
        <v>381</v>
      </c>
      <c r="M143" s="26" t="s">
        <v>382</v>
      </c>
      <c r="N143" s="26" t="s">
        <v>382</v>
      </c>
      <c r="O143" s="26" t="s">
        <v>85</v>
      </c>
      <c r="P143" s="26" t="s">
        <v>31</v>
      </c>
      <c r="Q143" s="29" t="s">
        <v>60</v>
      </c>
      <c r="R143" s="27" t="s">
        <v>61</v>
      </c>
      <c r="S143" s="29">
        <v>24000</v>
      </c>
      <c r="T143" s="26">
        <v>2021</v>
      </c>
      <c r="U143" s="30">
        <v>202405</v>
      </c>
      <c r="V143" s="31">
        <v>45443</v>
      </c>
      <c r="W143" s="27" t="s">
        <v>375</v>
      </c>
      <c r="X143" s="26" t="s">
        <v>362</v>
      </c>
    </row>
    <row r="144" spans="1:24" x14ac:dyDescent="0.15">
      <c r="A144" s="26" t="s">
        <v>434</v>
      </c>
      <c r="B144" s="27" t="s">
        <v>21</v>
      </c>
      <c r="C144" s="27" t="s">
        <v>103</v>
      </c>
      <c r="D144" s="27" t="s">
        <v>90</v>
      </c>
      <c r="E144" s="27" t="s">
        <v>482</v>
      </c>
      <c r="F144" s="27" t="s">
        <v>25</v>
      </c>
      <c r="G144" s="28">
        <v>32000</v>
      </c>
      <c r="H144" s="28" t="s">
        <v>41</v>
      </c>
      <c r="I144" s="27" t="s">
        <v>384</v>
      </c>
      <c r="J144" s="27" t="s">
        <v>478</v>
      </c>
      <c r="K144" s="27" t="s">
        <v>472</v>
      </c>
      <c r="L144" s="27" t="s">
        <v>385</v>
      </c>
      <c r="M144" s="26" t="s">
        <v>248</v>
      </c>
      <c r="N144" s="26" t="s">
        <v>248</v>
      </c>
      <c r="O144" s="26" t="s">
        <v>52</v>
      </c>
      <c r="P144" s="26" t="s">
        <v>31</v>
      </c>
      <c r="Q144" s="29" t="s">
        <v>156</v>
      </c>
      <c r="R144" s="27" t="s">
        <v>54</v>
      </c>
      <c r="S144" s="29">
        <v>21000</v>
      </c>
      <c r="T144" s="26">
        <v>2021</v>
      </c>
      <c r="U144" s="30">
        <v>202405</v>
      </c>
      <c r="V144" s="31">
        <v>45443</v>
      </c>
      <c r="W144" s="27" t="s">
        <v>375</v>
      </c>
      <c r="X144" s="26" t="s">
        <v>362</v>
      </c>
    </row>
    <row r="145" spans="1:24" x14ac:dyDescent="0.15">
      <c r="A145" s="26" t="s">
        <v>435</v>
      </c>
      <c r="B145" s="27" t="s">
        <v>21</v>
      </c>
      <c r="C145" s="27" t="s">
        <v>110</v>
      </c>
      <c r="D145" s="27" t="s">
        <v>90</v>
      </c>
      <c r="E145" s="27" t="s">
        <v>91</v>
      </c>
      <c r="F145" s="27" t="s">
        <v>25</v>
      </c>
      <c r="G145" s="28">
        <v>44800</v>
      </c>
      <c r="H145" s="28" t="s">
        <v>92</v>
      </c>
      <c r="I145" s="27" t="s">
        <v>387</v>
      </c>
      <c r="J145" s="27" t="s">
        <v>545</v>
      </c>
      <c r="K145" s="27" t="s">
        <v>33</v>
      </c>
      <c r="L145" s="27" t="s">
        <v>388</v>
      </c>
      <c r="M145" s="26" t="s">
        <v>29</v>
      </c>
      <c r="N145" s="26" t="s">
        <v>29</v>
      </c>
      <c r="O145" s="26" t="s">
        <v>30</v>
      </c>
      <c r="P145" s="26" t="s">
        <v>31</v>
      </c>
      <c r="Q145" s="29" t="s">
        <v>77</v>
      </c>
      <c r="R145" s="27" t="s">
        <v>101</v>
      </c>
      <c r="S145" s="29">
        <v>18000</v>
      </c>
      <c r="T145" s="26">
        <v>2022</v>
      </c>
      <c r="U145" s="30">
        <v>202406</v>
      </c>
      <c r="V145" s="31">
        <v>45473</v>
      </c>
      <c r="W145" s="27" t="s">
        <v>389</v>
      </c>
      <c r="X145" s="26" t="s">
        <v>362</v>
      </c>
    </row>
    <row r="146" spans="1:24" x14ac:dyDescent="0.15">
      <c r="A146" s="26" t="s">
        <v>436</v>
      </c>
      <c r="B146" s="27" t="s">
        <v>21</v>
      </c>
      <c r="C146" s="27" t="s">
        <v>110</v>
      </c>
      <c r="D146" s="27" t="s">
        <v>90</v>
      </c>
      <c r="E146" s="27" t="s">
        <v>482</v>
      </c>
      <c r="F146" s="27" t="s">
        <v>485</v>
      </c>
      <c r="G146" s="28">
        <v>43000</v>
      </c>
      <c r="H146" s="28" t="s">
        <v>92</v>
      </c>
      <c r="I146" s="27" t="s">
        <v>391</v>
      </c>
      <c r="J146" s="27" t="s">
        <v>546</v>
      </c>
      <c r="K146" s="27" t="s">
        <v>484</v>
      </c>
      <c r="L146" s="27" t="s">
        <v>392</v>
      </c>
      <c r="M146" s="26" t="s">
        <v>142</v>
      </c>
      <c r="N146" s="26" t="s">
        <v>142</v>
      </c>
      <c r="O146" s="26" t="s">
        <v>85</v>
      </c>
      <c r="P146" s="26" t="s">
        <v>31</v>
      </c>
      <c r="Q146" s="29" t="s">
        <v>45</v>
      </c>
      <c r="R146" s="27" t="s">
        <v>54</v>
      </c>
      <c r="S146" s="29">
        <v>20000</v>
      </c>
      <c r="T146" s="26">
        <v>2021</v>
      </c>
      <c r="U146" s="30">
        <v>202406</v>
      </c>
      <c r="V146" s="31">
        <v>45473</v>
      </c>
      <c r="W146" s="27" t="s">
        <v>389</v>
      </c>
      <c r="X146" s="26" t="s">
        <v>362</v>
      </c>
    </row>
    <row r="147" spans="1:24" x14ac:dyDescent="0.15">
      <c r="A147" s="26" t="s">
        <v>437</v>
      </c>
      <c r="B147" s="27" t="s">
        <v>21</v>
      </c>
      <c r="C147" s="27" t="s">
        <v>103</v>
      </c>
      <c r="D147" s="27" t="s">
        <v>90</v>
      </c>
      <c r="E147" s="27" t="s">
        <v>482</v>
      </c>
      <c r="F147" s="27" t="s">
        <v>25</v>
      </c>
      <c r="G147" s="28">
        <v>32000</v>
      </c>
      <c r="H147" s="28" t="s">
        <v>41</v>
      </c>
      <c r="I147" s="27" t="s">
        <v>394</v>
      </c>
      <c r="J147" s="27" t="s">
        <v>547</v>
      </c>
      <c r="K147" s="27" t="s">
        <v>468</v>
      </c>
      <c r="L147" s="27" t="s">
        <v>395</v>
      </c>
      <c r="M147" s="26" t="s">
        <v>248</v>
      </c>
      <c r="N147" s="26" t="s">
        <v>248</v>
      </c>
      <c r="O147" s="26" t="s">
        <v>52</v>
      </c>
      <c r="P147" s="26" t="s">
        <v>31</v>
      </c>
      <c r="Q147" s="29" t="s">
        <v>156</v>
      </c>
      <c r="R147" s="27" t="s">
        <v>46</v>
      </c>
      <c r="S147" s="29">
        <v>15000</v>
      </c>
      <c r="T147" s="26">
        <v>2022</v>
      </c>
      <c r="U147" s="30">
        <v>202406</v>
      </c>
      <c r="V147" s="31">
        <v>45473</v>
      </c>
      <c r="W147" s="27" t="s">
        <v>389</v>
      </c>
      <c r="X147" s="26" t="s">
        <v>362</v>
      </c>
    </row>
    <row r="148" spans="1:24" x14ac:dyDescent="0.15">
      <c r="A148" s="26" t="s">
        <v>438</v>
      </c>
      <c r="B148" s="27" t="s">
        <v>21</v>
      </c>
      <c r="C148" s="27" t="s">
        <v>397</v>
      </c>
      <c r="D148" s="27" t="s">
        <v>398</v>
      </c>
      <c r="E148" s="27" t="s">
        <v>399</v>
      </c>
      <c r="F148" s="27" t="s">
        <v>25</v>
      </c>
      <c r="G148" s="28">
        <v>33500</v>
      </c>
      <c r="H148" s="28" t="s">
        <v>41</v>
      </c>
      <c r="I148" s="27" t="s">
        <v>400</v>
      </c>
      <c r="J148" s="27" t="s">
        <v>548</v>
      </c>
      <c r="K148" s="27" t="s">
        <v>519</v>
      </c>
      <c r="L148" s="27" t="s">
        <v>401</v>
      </c>
      <c r="M148" s="26" t="s">
        <v>29</v>
      </c>
      <c r="N148" s="26" t="s">
        <v>29</v>
      </c>
      <c r="O148" s="26" t="s">
        <v>30</v>
      </c>
      <c r="P148" s="26" t="s">
        <v>31</v>
      </c>
      <c r="Q148" s="29" t="s">
        <v>133</v>
      </c>
      <c r="R148" s="27" t="s">
        <v>101</v>
      </c>
      <c r="S148" s="29">
        <v>21000</v>
      </c>
      <c r="T148" s="26">
        <v>2020</v>
      </c>
      <c r="U148" s="30">
        <v>202406</v>
      </c>
      <c r="V148" s="31">
        <v>45473</v>
      </c>
      <c r="W148" s="27" t="s">
        <v>389</v>
      </c>
      <c r="X148" s="26" t="s">
        <v>362</v>
      </c>
    </row>
    <row r="149" spans="1:24" x14ac:dyDescent="0.15">
      <c r="A149" s="26" t="s">
        <v>439</v>
      </c>
      <c r="B149" s="27" t="s">
        <v>21</v>
      </c>
      <c r="C149" s="27" t="s">
        <v>110</v>
      </c>
      <c r="D149" s="27" t="s">
        <v>90</v>
      </c>
      <c r="E149" s="27" t="s">
        <v>482</v>
      </c>
      <c r="F149" s="27" t="s">
        <v>485</v>
      </c>
      <c r="G149" s="28">
        <v>43000</v>
      </c>
      <c r="H149" s="28" t="s">
        <v>92</v>
      </c>
      <c r="I149" s="27" t="s">
        <v>403</v>
      </c>
      <c r="J149" s="27" t="s">
        <v>549</v>
      </c>
      <c r="K149" s="27" t="s">
        <v>33</v>
      </c>
      <c r="L149" s="27" t="s">
        <v>404</v>
      </c>
      <c r="M149" s="26" t="s">
        <v>165</v>
      </c>
      <c r="N149" s="26" t="s">
        <v>165</v>
      </c>
      <c r="O149" s="26" t="s">
        <v>30</v>
      </c>
      <c r="P149" s="26" t="s">
        <v>166</v>
      </c>
      <c r="Q149" s="29" t="s">
        <v>562</v>
      </c>
      <c r="R149" s="27" t="s">
        <v>54</v>
      </c>
      <c r="S149" s="29">
        <v>1000</v>
      </c>
      <c r="T149" s="26">
        <v>2024</v>
      </c>
      <c r="U149" s="30">
        <v>202406</v>
      </c>
      <c r="V149" s="31">
        <v>45473</v>
      </c>
      <c r="W149" s="27" t="s">
        <v>389</v>
      </c>
      <c r="X149" s="26" t="s">
        <v>362</v>
      </c>
    </row>
    <row r="150" spans="1:24" x14ac:dyDescent="0.15">
      <c r="A150" s="26" t="s">
        <v>440</v>
      </c>
      <c r="B150" s="27" t="s">
        <v>207</v>
      </c>
      <c r="C150" s="27" t="s">
        <v>406</v>
      </c>
      <c r="D150" s="27" t="s">
        <v>23</v>
      </c>
      <c r="E150" s="27" t="s">
        <v>73</v>
      </c>
      <c r="F150" s="27" t="s">
        <v>25</v>
      </c>
      <c r="G150" s="28">
        <v>29800</v>
      </c>
      <c r="H150" s="28" t="s">
        <v>41</v>
      </c>
      <c r="I150" s="27" t="s">
        <v>407</v>
      </c>
      <c r="J150" s="27" t="s">
        <v>486</v>
      </c>
      <c r="K150" s="27" t="s">
        <v>479</v>
      </c>
      <c r="L150" s="27" t="s">
        <v>408</v>
      </c>
      <c r="M150" s="26" t="s">
        <v>147</v>
      </c>
      <c r="N150" s="26" t="s">
        <v>147</v>
      </c>
      <c r="O150" s="26" t="s">
        <v>52</v>
      </c>
      <c r="P150" s="26" t="s">
        <v>31</v>
      </c>
      <c r="Q150" s="29" t="s">
        <v>53</v>
      </c>
      <c r="R150" s="27" t="s">
        <v>46</v>
      </c>
      <c r="S150" s="29">
        <v>22000</v>
      </c>
      <c r="T150" s="26">
        <v>2021</v>
      </c>
      <c r="U150" s="30">
        <v>202404</v>
      </c>
      <c r="V150" s="31">
        <v>45412</v>
      </c>
      <c r="W150" s="27" t="s">
        <v>361</v>
      </c>
      <c r="X150" s="26" t="s">
        <v>362</v>
      </c>
    </row>
    <row r="151" spans="1:24" x14ac:dyDescent="0.15">
      <c r="A151" s="26" t="s">
        <v>441</v>
      </c>
      <c r="B151" s="27" t="s">
        <v>227</v>
      </c>
      <c r="C151" s="27" t="s">
        <v>410</v>
      </c>
      <c r="D151" s="27" t="s">
        <v>90</v>
      </c>
      <c r="E151" s="27" t="s">
        <v>91</v>
      </c>
      <c r="F151" s="27" t="s">
        <v>485</v>
      </c>
      <c r="G151" s="28">
        <v>10436</v>
      </c>
      <c r="H151" s="28" t="s">
        <v>92</v>
      </c>
      <c r="I151" s="27" t="s">
        <v>411</v>
      </c>
      <c r="J151" s="27" t="s">
        <v>550</v>
      </c>
      <c r="K151" s="27" t="s">
        <v>475</v>
      </c>
      <c r="L151" s="27" t="s">
        <v>66</v>
      </c>
      <c r="M151" s="26" t="s">
        <v>165</v>
      </c>
      <c r="N151" s="26" t="s">
        <v>165</v>
      </c>
      <c r="O151" s="26" t="s">
        <v>30</v>
      </c>
      <c r="P151" s="26" t="s">
        <v>166</v>
      </c>
      <c r="Q151" s="29" t="s">
        <v>562</v>
      </c>
      <c r="R151" s="27" t="s">
        <v>101</v>
      </c>
      <c r="S151" s="29">
        <v>6000</v>
      </c>
      <c r="T151" s="26">
        <v>2024</v>
      </c>
      <c r="U151" s="30">
        <v>202405</v>
      </c>
      <c r="V151" s="31">
        <v>45443</v>
      </c>
      <c r="W151" s="27" t="s">
        <v>375</v>
      </c>
      <c r="X151" s="26" t="s">
        <v>362</v>
      </c>
    </row>
    <row r="161" spans="7:9" x14ac:dyDescent="0.15">
      <c r="G161" s="24" t="s">
        <v>567</v>
      </c>
      <c r="H161" t="s">
        <v>551</v>
      </c>
      <c r="I161"/>
    </row>
    <row r="162" spans="7:9" x14ac:dyDescent="0.15">
      <c r="G162" s="33" t="s">
        <v>244</v>
      </c>
      <c r="H162" s="34">
        <v>659200</v>
      </c>
      <c r="I162"/>
    </row>
    <row r="163" spans="7:9" x14ac:dyDescent="0.15">
      <c r="G163" s="35" t="s">
        <v>245</v>
      </c>
      <c r="H163" s="34">
        <v>179800</v>
      </c>
      <c r="I163"/>
    </row>
    <row r="164" spans="7:9" x14ac:dyDescent="0.15">
      <c r="G164" s="35" t="s">
        <v>261</v>
      </c>
      <c r="H164" s="34">
        <v>199800</v>
      </c>
      <c r="I164"/>
    </row>
    <row r="165" spans="7:9" x14ac:dyDescent="0.15">
      <c r="G165" s="35" t="s">
        <v>300</v>
      </c>
      <c r="H165" s="34">
        <v>279600</v>
      </c>
      <c r="I165"/>
    </row>
    <row r="166" spans="7:9" x14ac:dyDescent="0.15">
      <c r="G166" s="33" t="s">
        <v>273</v>
      </c>
      <c r="H166" s="34">
        <v>221500</v>
      </c>
      <c r="I166"/>
    </row>
    <row r="167" spans="7:9" x14ac:dyDescent="0.15">
      <c r="G167" s="35" t="s">
        <v>274</v>
      </c>
      <c r="H167" s="34">
        <v>140800</v>
      </c>
      <c r="I167"/>
    </row>
    <row r="168" spans="7:9" x14ac:dyDescent="0.15">
      <c r="G168" s="35" t="s">
        <v>288</v>
      </c>
      <c r="H168" s="34">
        <v>80700</v>
      </c>
      <c r="I168"/>
    </row>
    <row r="169" spans="7:9" x14ac:dyDescent="0.15">
      <c r="G169" s="33" t="s">
        <v>255</v>
      </c>
      <c r="H169" s="34">
        <v>288600</v>
      </c>
      <c r="I169"/>
    </row>
    <row r="170" spans="7:9" x14ac:dyDescent="0.15">
      <c r="G170" s="35" t="s">
        <v>256</v>
      </c>
      <c r="H170" s="34">
        <v>77800</v>
      </c>
      <c r="I170"/>
    </row>
    <row r="171" spans="7:9" x14ac:dyDescent="0.15">
      <c r="G171" s="35" t="s">
        <v>296</v>
      </c>
      <c r="H171" s="34">
        <v>119200</v>
      </c>
      <c r="I171"/>
    </row>
    <row r="172" spans="7:9" x14ac:dyDescent="0.15">
      <c r="G172" s="35" t="s">
        <v>278</v>
      </c>
      <c r="H172" s="34">
        <v>91600</v>
      </c>
      <c r="I172"/>
    </row>
    <row r="173" spans="7:9" x14ac:dyDescent="0.15">
      <c r="G173" s="33" t="s">
        <v>207</v>
      </c>
      <c r="H173" s="34">
        <v>138400</v>
      </c>
      <c r="I173"/>
    </row>
    <row r="174" spans="7:9" x14ac:dyDescent="0.15">
      <c r="G174" s="35" t="s">
        <v>406</v>
      </c>
      <c r="H174" s="34">
        <v>89400</v>
      </c>
      <c r="I174"/>
    </row>
    <row r="175" spans="7:9" x14ac:dyDescent="0.15">
      <c r="G175" s="35" t="s">
        <v>208</v>
      </c>
      <c r="H175" s="34">
        <v>49000</v>
      </c>
      <c r="I175"/>
    </row>
    <row r="176" spans="7:9" x14ac:dyDescent="0.15">
      <c r="G176" s="33" t="s">
        <v>217</v>
      </c>
      <c r="H176" s="34">
        <v>191100</v>
      </c>
      <c r="I176"/>
    </row>
    <row r="177" spans="7:9" x14ac:dyDescent="0.15">
      <c r="G177" s="35" t="s">
        <v>239</v>
      </c>
      <c r="H177" s="34">
        <v>18900</v>
      </c>
      <c r="I177"/>
    </row>
    <row r="178" spans="7:9" x14ac:dyDescent="0.15">
      <c r="G178" s="35" t="s">
        <v>218</v>
      </c>
      <c r="H178" s="34">
        <v>68700</v>
      </c>
      <c r="I178"/>
    </row>
    <row r="179" spans="7:9" x14ac:dyDescent="0.15">
      <c r="G179" s="35" t="s">
        <v>292</v>
      </c>
      <c r="H179" s="34">
        <v>103500</v>
      </c>
    </row>
    <row r="180" spans="7:9" x14ac:dyDescent="0.15">
      <c r="G180" s="33" t="s">
        <v>222</v>
      </c>
      <c r="H180" s="34">
        <v>627900</v>
      </c>
    </row>
    <row r="181" spans="7:9" x14ac:dyDescent="0.15">
      <c r="G181" s="35" t="s">
        <v>283</v>
      </c>
      <c r="H181" s="34">
        <v>195300</v>
      </c>
    </row>
    <row r="182" spans="7:9" x14ac:dyDescent="0.15">
      <c r="G182" s="35" t="s">
        <v>268</v>
      </c>
      <c r="H182" s="34">
        <v>68700</v>
      </c>
    </row>
    <row r="183" spans="7:9" x14ac:dyDescent="0.15">
      <c r="G183" s="35" t="s">
        <v>223</v>
      </c>
      <c r="H183" s="34">
        <v>363900</v>
      </c>
    </row>
    <row r="184" spans="7:9" x14ac:dyDescent="0.15">
      <c r="G184" s="33" t="s">
        <v>212</v>
      </c>
      <c r="H184" s="34">
        <v>997700</v>
      </c>
    </row>
    <row r="185" spans="7:9" x14ac:dyDescent="0.15">
      <c r="G185" s="35" t="s">
        <v>213</v>
      </c>
      <c r="H185" s="34">
        <v>162200</v>
      </c>
    </row>
    <row r="186" spans="7:9" x14ac:dyDescent="0.15">
      <c r="G186" s="35" t="s">
        <v>250</v>
      </c>
      <c r="H186" s="34">
        <v>256000</v>
      </c>
    </row>
    <row r="187" spans="7:9" x14ac:dyDescent="0.15">
      <c r="G187" s="35" t="s">
        <v>304</v>
      </c>
      <c r="H187" s="34">
        <v>579500</v>
      </c>
    </row>
    <row r="188" spans="7:9" x14ac:dyDescent="0.15">
      <c r="G188" s="33" t="s">
        <v>227</v>
      </c>
      <c r="H188" s="34">
        <v>210306</v>
      </c>
    </row>
    <row r="189" spans="7:9" x14ac:dyDescent="0.15">
      <c r="G189" s="35" t="s">
        <v>228</v>
      </c>
      <c r="H189" s="34">
        <v>179000</v>
      </c>
    </row>
    <row r="190" spans="7:9" x14ac:dyDescent="0.15">
      <c r="G190" s="35" t="s">
        <v>410</v>
      </c>
      <c r="H190" s="34">
        <v>31306</v>
      </c>
    </row>
    <row r="191" spans="7:9" x14ac:dyDescent="0.15">
      <c r="G191" s="33" t="s">
        <v>21</v>
      </c>
      <c r="H191" s="34">
        <v>2475000</v>
      </c>
    </row>
    <row r="192" spans="7:9" x14ac:dyDescent="0.15">
      <c r="G192" s="35" t="s">
        <v>72</v>
      </c>
      <c r="H192" s="34">
        <v>39500</v>
      </c>
    </row>
    <row r="193" spans="7:8" x14ac:dyDescent="0.15">
      <c r="G193" s="35" t="s">
        <v>153</v>
      </c>
      <c r="H193" s="34">
        <v>26500</v>
      </c>
    </row>
    <row r="194" spans="7:8" x14ac:dyDescent="0.15">
      <c r="G194" s="35" t="s">
        <v>63</v>
      </c>
      <c r="H194" s="34">
        <v>140000</v>
      </c>
    </row>
    <row r="195" spans="7:8" x14ac:dyDescent="0.15">
      <c r="G195" s="35" t="s">
        <v>22</v>
      </c>
      <c r="H195" s="34">
        <v>112500</v>
      </c>
    </row>
    <row r="196" spans="7:8" x14ac:dyDescent="0.15">
      <c r="G196" s="35" t="s">
        <v>120</v>
      </c>
      <c r="H196" s="34">
        <v>31500</v>
      </c>
    </row>
    <row r="197" spans="7:8" x14ac:dyDescent="0.15">
      <c r="G197" s="35" t="s">
        <v>110</v>
      </c>
      <c r="H197" s="34">
        <v>650400</v>
      </c>
    </row>
    <row r="198" spans="7:8" x14ac:dyDescent="0.15">
      <c r="G198" s="35" t="s">
        <v>115</v>
      </c>
      <c r="H198" s="34">
        <v>234000</v>
      </c>
    </row>
    <row r="199" spans="7:8" x14ac:dyDescent="0.15">
      <c r="G199" s="35" t="s">
        <v>37</v>
      </c>
      <c r="H199" s="34">
        <v>601500</v>
      </c>
    </row>
    <row r="200" spans="7:8" x14ac:dyDescent="0.15">
      <c r="G200" s="35" t="s">
        <v>103</v>
      </c>
      <c r="H200" s="34">
        <v>427400</v>
      </c>
    </row>
    <row r="201" spans="7:8" x14ac:dyDescent="0.15">
      <c r="G201" s="35" t="s">
        <v>89</v>
      </c>
      <c r="H201" s="34">
        <v>56900</v>
      </c>
    </row>
    <row r="202" spans="7:8" x14ac:dyDescent="0.15">
      <c r="G202" s="35" t="s">
        <v>397</v>
      </c>
      <c r="H202" s="34">
        <v>100500</v>
      </c>
    </row>
    <row r="203" spans="7:8" x14ac:dyDescent="0.15">
      <c r="G203" s="35" t="s">
        <v>130</v>
      </c>
      <c r="H203" s="34">
        <v>35800</v>
      </c>
    </row>
    <row r="204" spans="7:8" x14ac:dyDescent="0.15">
      <c r="G204" s="35" t="s">
        <v>149</v>
      </c>
      <c r="H204" s="34">
        <v>18500</v>
      </c>
    </row>
    <row r="205" spans="7:8" x14ac:dyDescent="0.15">
      <c r="G205" s="33" t="s">
        <v>571</v>
      </c>
      <c r="H205" s="34"/>
    </row>
    <row r="206" spans="7:8" x14ac:dyDescent="0.15">
      <c r="G206" s="35" t="s">
        <v>571</v>
      </c>
      <c r="H206" s="34"/>
    </row>
    <row r="207" spans="7:8" x14ac:dyDescent="0.15">
      <c r="G207" s="33" t="s">
        <v>561</v>
      </c>
      <c r="H207" s="34">
        <v>5809706</v>
      </c>
    </row>
  </sheetData>
  <pageMargins left="0.7" right="0.7" top="0.75" bottom="0.75" header="0.3" footer="0.3"/>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C1F9C-08B9-45B8-8F1F-0E58415751A9}">
  <dimension ref="A3:C36"/>
  <sheetViews>
    <sheetView workbookViewId="0">
      <selection activeCell="N46" sqref="N46"/>
    </sheetView>
  </sheetViews>
  <sheetFormatPr baseColWidth="10" defaultColWidth="8.83203125" defaultRowHeight="13" x14ac:dyDescent="0.15"/>
  <cols>
    <col min="1" max="1" width="11.33203125" bestFit="1" customWidth="1"/>
    <col min="2" max="2" width="10.33203125" bestFit="1" customWidth="1"/>
    <col min="3" max="3" width="17" bestFit="1" customWidth="1"/>
    <col min="4" max="4" width="18.1640625" bestFit="1" customWidth="1"/>
    <col min="5" max="5" width="12.5" bestFit="1" customWidth="1"/>
    <col min="6" max="6" width="11.1640625" bestFit="1" customWidth="1"/>
    <col min="7" max="7" width="12.1640625" bestFit="1" customWidth="1"/>
    <col min="8" max="8" width="12.6640625" bestFit="1" customWidth="1"/>
    <col min="9" max="9" width="11.5" bestFit="1" customWidth="1"/>
    <col min="10" max="10" width="13.33203125" bestFit="1" customWidth="1"/>
    <col min="11" max="11" width="11.1640625" bestFit="1" customWidth="1"/>
    <col min="12" max="12" width="12.6640625" bestFit="1" customWidth="1"/>
    <col min="13" max="14" width="11.33203125" bestFit="1" customWidth="1"/>
    <col min="15" max="15" width="7.5" bestFit="1" customWidth="1"/>
    <col min="16" max="16" width="14" bestFit="1" customWidth="1"/>
    <col min="17" max="17" width="11" bestFit="1" customWidth="1"/>
    <col min="18" max="18" width="7.5" bestFit="1" customWidth="1"/>
    <col min="19" max="19" width="8.33203125" bestFit="1" customWidth="1"/>
    <col min="20" max="20" width="5.83203125" bestFit="1" customWidth="1"/>
    <col min="21" max="21" width="6.5" bestFit="1" customWidth="1"/>
    <col min="22" max="22" width="14" bestFit="1" customWidth="1"/>
    <col min="23" max="23" width="11" bestFit="1" customWidth="1"/>
    <col min="24" max="24" width="7.5" bestFit="1" customWidth="1"/>
    <col min="25" max="25" width="6.33203125" bestFit="1" customWidth="1"/>
    <col min="26" max="26" width="5" bestFit="1" customWidth="1"/>
    <col min="27" max="27" width="5.1640625" bestFit="1" customWidth="1"/>
    <col min="28" max="28" width="14" bestFit="1" customWidth="1"/>
    <col min="29" max="29" width="10" bestFit="1" customWidth="1"/>
    <col min="30" max="30" width="6.6640625" bestFit="1" customWidth="1"/>
    <col min="31" max="31" width="7.83203125" bestFit="1" customWidth="1"/>
    <col min="32" max="32" width="6" bestFit="1" customWidth="1"/>
    <col min="33" max="33" width="5" bestFit="1" customWidth="1"/>
    <col min="34" max="34" width="13" bestFit="1" customWidth="1"/>
    <col min="35" max="35" width="10" bestFit="1" customWidth="1"/>
    <col min="36" max="36" width="6.6640625" bestFit="1" customWidth="1"/>
    <col min="37" max="37" width="6.33203125" bestFit="1" customWidth="1"/>
    <col min="38" max="38" width="5.5" bestFit="1" customWidth="1"/>
    <col min="39" max="39" width="7" bestFit="1" customWidth="1"/>
    <col min="40" max="40" width="5" bestFit="1" customWidth="1"/>
    <col min="41" max="41" width="5.83203125" bestFit="1" customWidth="1"/>
    <col min="42" max="42" width="7.1640625" bestFit="1" customWidth="1"/>
    <col min="43" max="43" width="6" bestFit="1" customWidth="1"/>
    <col min="44" max="44" width="13" bestFit="1" customWidth="1"/>
    <col min="45" max="45" width="10" bestFit="1" customWidth="1"/>
    <col min="46" max="46" width="5.5" bestFit="1" customWidth="1"/>
    <col min="47" max="47" width="7.1640625" bestFit="1" customWidth="1"/>
    <col min="48" max="49" width="8.33203125" bestFit="1" customWidth="1"/>
    <col min="50" max="50" width="8.1640625" bestFit="1" customWidth="1"/>
    <col min="51" max="51" width="13" bestFit="1" customWidth="1"/>
    <col min="52" max="52" width="10" bestFit="1" customWidth="1"/>
    <col min="53" max="53" width="8.5" bestFit="1" customWidth="1"/>
    <col min="54" max="54" width="8.83203125" bestFit="1" customWidth="1"/>
    <col min="55" max="55" width="8.1640625" bestFit="1" customWidth="1"/>
    <col min="56" max="56" width="6.6640625" bestFit="1" customWidth="1"/>
    <col min="57" max="57" width="6.5" bestFit="1" customWidth="1"/>
    <col min="58" max="58" width="8" bestFit="1" customWidth="1"/>
    <col min="59" max="59" width="13" bestFit="1" customWidth="1"/>
    <col min="60" max="60" width="10" bestFit="1" customWidth="1"/>
    <col min="61" max="61" width="7.83203125" bestFit="1" customWidth="1"/>
    <col min="62" max="62" width="9" bestFit="1" customWidth="1"/>
    <col min="63" max="63" width="5.83203125" bestFit="1" customWidth="1"/>
    <col min="64" max="64" width="7.5" bestFit="1" customWidth="1"/>
    <col min="65" max="65" width="7" bestFit="1" customWidth="1"/>
    <col min="66" max="66" width="5.33203125" bestFit="1" customWidth="1"/>
    <col min="67" max="67" width="6" bestFit="1" customWidth="1"/>
    <col min="68" max="68" width="13" bestFit="1" customWidth="1"/>
    <col min="69" max="69" width="10" bestFit="1" customWidth="1"/>
    <col min="70" max="70" width="7.5" bestFit="1" customWidth="1"/>
    <col min="71" max="71" width="6.83203125" bestFit="1" customWidth="1"/>
    <col min="72" max="72" width="6.33203125" bestFit="1" customWidth="1"/>
    <col min="73" max="73" width="6.5" bestFit="1" customWidth="1"/>
    <col min="74" max="74" width="9.5" bestFit="1" customWidth="1"/>
    <col min="75" max="75" width="6.1640625" bestFit="1" customWidth="1"/>
    <col min="76" max="76" width="13" bestFit="1" customWidth="1"/>
    <col min="77" max="77" width="10" bestFit="1" customWidth="1"/>
    <col min="78" max="78" width="7.33203125" bestFit="1" customWidth="1"/>
    <col min="79" max="79" width="6" bestFit="1" customWidth="1"/>
    <col min="80" max="81" width="7" bestFit="1" customWidth="1"/>
    <col min="82" max="82" width="13" bestFit="1" customWidth="1"/>
    <col min="83" max="83" width="11.33203125" bestFit="1" customWidth="1"/>
    <col min="84" max="84" width="6" bestFit="1" customWidth="1"/>
    <col min="85" max="85" width="14" bestFit="1" customWidth="1"/>
    <col min="86" max="86" width="11" bestFit="1" customWidth="1"/>
    <col min="87" max="88" width="5" bestFit="1" customWidth="1"/>
    <col min="89" max="89" width="6.83203125" bestFit="1" customWidth="1"/>
    <col min="90" max="90" width="14" bestFit="1" customWidth="1"/>
    <col min="91" max="91" width="11" bestFit="1" customWidth="1"/>
    <col min="92" max="92" width="9" bestFit="1" customWidth="1"/>
    <col min="93" max="93" width="6.5" bestFit="1" customWidth="1"/>
    <col min="94" max="94" width="5.1640625" bestFit="1" customWidth="1"/>
    <col min="95" max="95" width="7.6640625" bestFit="1" customWidth="1"/>
    <col min="96" max="96" width="7.5" bestFit="1" customWidth="1"/>
    <col min="97" max="97" width="14" bestFit="1" customWidth="1"/>
    <col min="98" max="98" width="11" bestFit="1" customWidth="1"/>
    <col min="99" max="99" width="7.5" bestFit="1" customWidth="1"/>
    <col min="100" max="100" width="8.33203125" bestFit="1" customWidth="1"/>
    <col min="101" max="101" width="5.83203125" bestFit="1" customWidth="1"/>
    <col min="102" max="102" width="6.5" bestFit="1" customWidth="1"/>
    <col min="103" max="103" width="14" bestFit="1" customWidth="1"/>
    <col min="104" max="104" width="11" bestFit="1" customWidth="1"/>
    <col min="105" max="105" width="7.5" bestFit="1" customWidth="1"/>
    <col min="106" max="106" width="6.33203125" bestFit="1" customWidth="1"/>
    <col min="107" max="107" width="5" bestFit="1" customWidth="1"/>
    <col min="108" max="108" width="5.1640625" bestFit="1" customWidth="1"/>
    <col min="109" max="109" width="14" bestFit="1" customWidth="1"/>
    <col min="110" max="110" width="10" bestFit="1" customWidth="1"/>
    <col min="111" max="111" width="6.6640625" bestFit="1" customWidth="1"/>
    <col min="112" max="112" width="7.83203125" bestFit="1" customWidth="1"/>
    <col min="113" max="113" width="6" bestFit="1" customWidth="1"/>
    <col min="114" max="114" width="5" bestFit="1" customWidth="1"/>
    <col min="115" max="115" width="13" bestFit="1" customWidth="1"/>
    <col min="116" max="116" width="10" bestFit="1" customWidth="1"/>
    <col min="117" max="117" width="6.6640625" bestFit="1" customWidth="1"/>
    <col min="118" max="118" width="6.33203125" bestFit="1" customWidth="1"/>
    <col min="119" max="119" width="5.5" bestFit="1" customWidth="1"/>
    <col min="120" max="120" width="7" bestFit="1" customWidth="1"/>
    <col min="121" max="121" width="5" bestFit="1" customWidth="1"/>
    <col min="122" max="122" width="5.83203125" bestFit="1" customWidth="1"/>
    <col min="123" max="123" width="7.1640625" bestFit="1" customWidth="1"/>
    <col min="124" max="124" width="6" bestFit="1" customWidth="1"/>
    <col min="125" max="125" width="13" bestFit="1" customWidth="1"/>
    <col min="126" max="126" width="10" bestFit="1" customWidth="1"/>
    <col min="127" max="127" width="5.5" bestFit="1" customWidth="1"/>
    <col min="128" max="128" width="7.1640625" bestFit="1" customWidth="1"/>
    <col min="129" max="130" width="8.33203125" bestFit="1" customWidth="1"/>
    <col min="131" max="131" width="8.1640625" bestFit="1" customWidth="1"/>
    <col min="132" max="132" width="13" bestFit="1" customWidth="1"/>
    <col min="133" max="133" width="10" bestFit="1" customWidth="1"/>
    <col min="134" max="134" width="8.5" bestFit="1" customWidth="1"/>
    <col min="135" max="135" width="8.83203125" bestFit="1" customWidth="1"/>
    <col min="136" max="136" width="8.1640625" bestFit="1" customWidth="1"/>
    <col min="137" max="137" width="6.6640625" bestFit="1" customWidth="1"/>
    <col min="138" max="138" width="6.5" bestFit="1" customWidth="1"/>
    <col min="139" max="139" width="8" bestFit="1" customWidth="1"/>
    <col min="140" max="140" width="13" bestFit="1" customWidth="1"/>
    <col min="141" max="141" width="10" bestFit="1" customWidth="1"/>
    <col min="142" max="142" width="7.83203125" bestFit="1" customWidth="1"/>
    <col min="143" max="143" width="9" bestFit="1" customWidth="1"/>
    <col min="144" max="144" width="5.83203125" bestFit="1" customWidth="1"/>
    <col min="145" max="145" width="7.5" bestFit="1" customWidth="1"/>
    <col min="146" max="146" width="7" bestFit="1" customWidth="1"/>
    <col min="147" max="147" width="5.33203125" bestFit="1" customWidth="1"/>
    <col min="148" max="148" width="6" bestFit="1" customWidth="1"/>
    <col min="149" max="149" width="13" bestFit="1" customWidth="1"/>
    <col min="150" max="150" width="10" bestFit="1" customWidth="1"/>
    <col min="151" max="151" width="7.5" bestFit="1" customWidth="1"/>
    <col min="152" max="152" width="6.83203125" bestFit="1" customWidth="1"/>
    <col min="153" max="153" width="6.33203125" bestFit="1" customWidth="1"/>
    <col min="154" max="154" width="6.5" bestFit="1" customWidth="1"/>
    <col min="155" max="155" width="9.5" bestFit="1" customWidth="1"/>
    <col min="156" max="156" width="6.1640625" bestFit="1" customWidth="1"/>
    <col min="157" max="157" width="13" bestFit="1" customWidth="1"/>
    <col min="158" max="158" width="10" bestFit="1" customWidth="1"/>
    <col min="159" max="159" width="7.33203125" bestFit="1" customWidth="1"/>
    <col min="160" max="160" width="6" bestFit="1" customWidth="1"/>
    <col min="161" max="162" width="7" bestFit="1" customWidth="1"/>
    <col min="163" max="163" width="13" bestFit="1" customWidth="1"/>
    <col min="164" max="164" width="22" bestFit="1" customWidth="1"/>
    <col min="165" max="165" width="23" bestFit="1" customWidth="1"/>
  </cols>
  <sheetData>
    <row r="3" spans="1:3" x14ac:dyDescent="0.15">
      <c r="A3" s="24" t="s">
        <v>1</v>
      </c>
      <c r="B3" s="24" t="s">
        <v>19</v>
      </c>
      <c r="C3" t="s">
        <v>551</v>
      </c>
    </row>
    <row r="4" spans="1:3" x14ac:dyDescent="0.15">
      <c r="A4" t="s">
        <v>244</v>
      </c>
      <c r="B4" t="s">
        <v>79</v>
      </c>
      <c r="C4" s="25">
        <v>379600</v>
      </c>
    </row>
    <row r="5" spans="1:3" x14ac:dyDescent="0.15">
      <c r="B5" t="s">
        <v>158</v>
      </c>
      <c r="C5" s="25">
        <v>279600</v>
      </c>
    </row>
    <row r="6" spans="1:3" x14ac:dyDescent="0.15">
      <c r="A6" t="s">
        <v>552</v>
      </c>
      <c r="C6" s="25">
        <v>659200</v>
      </c>
    </row>
    <row r="7" spans="1:3" x14ac:dyDescent="0.15">
      <c r="A7" t="s">
        <v>273</v>
      </c>
      <c r="B7" t="s">
        <v>79</v>
      </c>
      <c r="C7" s="25">
        <v>140800</v>
      </c>
    </row>
    <row r="8" spans="1:3" x14ac:dyDescent="0.15">
      <c r="B8" t="s">
        <v>158</v>
      </c>
      <c r="C8" s="25">
        <v>80700</v>
      </c>
    </row>
    <row r="9" spans="1:3" x14ac:dyDescent="0.15">
      <c r="A9" t="s">
        <v>553</v>
      </c>
      <c r="C9" s="25">
        <v>221500</v>
      </c>
    </row>
    <row r="10" spans="1:3" x14ac:dyDescent="0.15">
      <c r="A10" t="s">
        <v>255</v>
      </c>
      <c r="B10" t="s">
        <v>79</v>
      </c>
      <c r="C10" s="25">
        <v>169400</v>
      </c>
    </row>
    <row r="11" spans="1:3" x14ac:dyDescent="0.15">
      <c r="B11" t="s">
        <v>158</v>
      </c>
      <c r="C11" s="25">
        <v>119200</v>
      </c>
    </row>
    <row r="12" spans="1:3" x14ac:dyDescent="0.15">
      <c r="A12" t="s">
        <v>554</v>
      </c>
      <c r="C12" s="25">
        <v>288600</v>
      </c>
    </row>
    <row r="13" spans="1:3" x14ac:dyDescent="0.15">
      <c r="A13" t="s">
        <v>207</v>
      </c>
      <c r="B13" t="s">
        <v>35</v>
      </c>
      <c r="C13" s="25">
        <v>49000</v>
      </c>
    </row>
    <row r="14" spans="1:3" x14ac:dyDescent="0.15">
      <c r="B14" t="s">
        <v>362</v>
      </c>
      <c r="C14" s="25">
        <v>89400</v>
      </c>
    </row>
    <row r="15" spans="1:3" x14ac:dyDescent="0.15">
      <c r="A15" t="s">
        <v>555</v>
      </c>
      <c r="C15" s="25">
        <v>138400</v>
      </c>
    </row>
    <row r="16" spans="1:3" x14ac:dyDescent="0.15">
      <c r="A16" t="s">
        <v>217</v>
      </c>
      <c r="B16" t="s">
        <v>35</v>
      </c>
      <c r="C16" s="25">
        <v>68700</v>
      </c>
    </row>
    <row r="17" spans="1:3" x14ac:dyDescent="0.15">
      <c r="B17" t="s">
        <v>79</v>
      </c>
      <c r="C17" s="25">
        <v>18900</v>
      </c>
    </row>
    <row r="18" spans="1:3" x14ac:dyDescent="0.15">
      <c r="B18" t="s">
        <v>158</v>
      </c>
      <c r="C18" s="25">
        <v>103500</v>
      </c>
    </row>
    <row r="19" spans="1:3" x14ac:dyDescent="0.15">
      <c r="A19" t="s">
        <v>556</v>
      </c>
      <c r="C19" s="25">
        <v>191100</v>
      </c>
    </row>
    <row r="20" spans="1:3" x14ac:dyDescent="0.15">
      <c r="A20" t="s">
        <v>222</v>
      </c>
      <c r="B20" t="s">
        <v>35</v>
      </c>
      <c r="C20" s="25">
        <v>363900</v>
      </c>
    </row>
    <row r="21" spans="1:3" x14ac:dyDescent="0.15">
      <c r="B21" t="s">
        <v>79</v>
      </c>
      <c r="C21" s="25">
        <v>68700</v>
      </c>
    </row>
    <row r="22" spans="1:3" x14ac:dyDescent="0.15">
      <c r="B22" t="s">
        <v>158</v>
      </c>
      <c r="C22" s="25">
        <v>195300</v>
      </c>
    </row>
    <row r="23" spans="1:3" x14ac:dyDescent="0.15">
      <c r="A23" t="s">
        <v>557</v>
      </c>
      <c r="C23" s="25">
        <v>627900</v>
      </c>
    </row>
    <row r="24" spans="1:3" x14ac:dyDescent="0.15">
      <c r="A24" t="s">
        <v>212</v>
      </c>
      <c r="B24" t="s">
        <v>35</v>
      </c>
      <c r="C24" s="25">
        <v>162200</v>
      </c>
    </row>
    <row r="25" spans="1:3" x14ac:dyDescent="0.15">
      <c r="B25" t="s">
        <v>79</v>
      </c>
      <c r="C25" s="25">
        <v>256000</v>
      </c>
    </row>
    <row r="26" spans="1:3" x14ac:dyDescent="0.15">
      <c r="B26" t="s">
        <v>158</v>
      </c>
      <c r="C26" s="25">
        <v>579500</v>
      </c>
    </row>
    <row r="27" spans="1:3" x14ac:dyDescent="0.15">
      <c r="A27" t="s">
        <v>558</v>
      </c>
      <c r="C27" s="25">
        <v>997700</v>
      </c>
    </row>
    <row r="28" spans="1:3" x14ac:dyDescent="0.15">
      <c r="A28" t="s">
        <v>227</v>
      </c>
      <c r="B28" t="s">
        <v>35</v>
      </c>
      <c r="C28" s="25">
        <v>179000</v>
      </c>
    </row>
    <row r="29" spans="1:3" x14ac:dyDescent="0.15">
      <c r="B29" t="s">
        <v>362</v>
      </c>
      <c r="C29" s="25">
        <v>31306</v>
      </c>
    </row>
    <row r="30" spans="1:3" x14ac:dyDescent="0.15">
      <c r="A30" t="s">
        <v>559</v>
      </c>
      <c r="C30" s="25">
        <v>210306</v>
      </c>
    </row>
    <row r="31" spans="1:3" x14ac:dyDescent="0.15">
      <c r="A31" t="s">
        <v>21</v>
      </c>
      <c r="B31" t="s">
        <v>35</v>
      </c>
      <c r="C31" s="25">
        <v>145500</v>
      </c>
    </row>
    <row r="32" spans="1:3" x14ac:dyDescent="0.15">
      <c r="B32" t="s">
        <v>362</v>
      </c>
      <c r="C32" s="25">
        <v>1285800</v>
      </c>
    </row>
    <row r="33" spans="1:3" x14ac:dyDescent="0.15">
      <c r="B33" t="s">
        <v>79</v>
      </c>
      <c r="C33" s="25">
        <v>520700</v>
      </c>
    </row>
    <row r="34" spans="1:3" x14ac:dyDescent="0.15">
      <c r="B34" t="s">
        <v>158</v>
      </c>
      <c r="C34" s="25">
        <v>523000</v>
      </c>
    </row>
    <row r="35" spans="1:3" x14ac:dyDescent="0.15">
      <c r="A35" t="s">
        <v>560</v>
      </c>
      <c r="C35" s="25">
        <v>2475000</v>
      </c>
    </row>
    <row r="36" spans="1:3" x14ac:dyDescent="0.15">
      <c r="A36" t="s">
        <v>561</v>
      </c>
      <c r="C36" s="25">
        <v>5809706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B79B9-4117-4349-B94E-0EEB8D7901FA}">
  <dimension ref="A3:C8"/>
  <sheetViews>
    <sheetView workbookViewId="0">
      <selection activeCell="B3" sqref="B3"/>
    </sheetView>
  </sheetViews>
  <sheetFormatPr baseColWidth="10" defaultRowHeight="13" x14ac:dyDescent="0.15"/>
  <cols>
    <col min="1" max="1" width="13.1640625" bestFit="1" customWidth="1"/>
    <col min="2" max="2" width="16.5" bestFit="1" customWidth="1"/>
    <col min="3" max="3" width="11.1640625" bestFit="1" customWidth="1"/>
  </cols>
  <sheetData>
    <row r="3" spans="1:3" x14ac:dyDescent="0.15">
      <c r="A3" s="24" t="s">
        <v>567</v>
      </c>
      <c r="B3" t="s">
        <v>551</v>
      </c>
      <c r="C3" t="s">
        <v>568</v>
      </c>
    </row>
    <row r="4" spans="1:3" x14ac:dyDescent="0.15">
      <c r="A4" s="33" t="s">
        <v>68</v>
      </c>
      <c r="B4" s="34">
        <v>641100</v>
      </c>
      <c r="C4" s="34">
        <v>22</v>
      </c>
    </row>
    <row r="5" spans="1:3" x14ac:dyDescent="0.15">
      <c r="A5" s="33" t="s">
        <v>52</v>
      </c>
      <c r="B5" s="34">
        <v>1404800</v>
      </c>
      <c r="C5" s="34">
        <v>34</v>
      </c>
    </row>
    <row r="6" spans="1:3" x14ac:dyDescent="0.15">
      <c r="A6" s="33" t="s">
        <v>85</v>
      </c>
      <c r="B6" s="34">
        <v>1957400</v>
      </c>
      <c r="C6" s="34">
        <v>44</v>
      </c>
    </row>
    <row r="7" spans="1:3" x14ac:dyDescent="0.15">
      <c r="A7" s="33" t="s">
        <v>30</v>
      </c>
      <c r="B7" s="34">
        <v>1806406</v>
      </c>
      <c r="C7" s="34">
        <v>50</v>
      </c>
    </row>
    <row r="8" spans="1:3" x14ac:dyDescent="0.15">
      <c r="A8" s="33" t="s">
        <v>561</v>
      </c>
      <c r="B8" s="34">
        <v>5809706</v>
      </c>
      <c r="C8" s="34">
        <v>150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5D68-A3B6-1E47-8050-F6790F1FC185}">
  <dimension ref="A3:L5"/>
  <sheetViews>
    <sheetView workbookViewId="0">
      <selection activeCell="N40" sqref="N40"/>
    </sheetView>
  </sheetViews>
  <sheetFormatPr baseColWidth="10" defaultRowHeight="13" x14ac:dyDescent="0.15"/>
  <cols>
    <col min="1" max="1" width="16.5" bestFit="1" customWidth="1"/>
    <col min="2" max="2" width="15.83203125" bestFit="1" customWidth="1"/>
    <col min="3" max="3" width="11.5" bestFit="1" customWidth="1"/>
    <col min="4" max="4" width="11.6640625" bestFit="1" customWidth="1"/>
    <col min="5" max="5" width="12" bestFit="1" customWidth="1"/>
    <col min="6" max="6" width="10.1640625" bestFit="1" customWidth="1"/>
    <col min="7" max="7" width="11.33203125" bestFit="1" customWidth="1"/>
    <col min="8" max="8" width="12.1640625" bestFit="1" customWidth="1"/>
    <col min="9" max="9" width="11" bestFit="1" customWidth="1"/>
    <col min="10" max="10" width="12.5" bestFit="1" customWidth="1"/>
    <col min="11" max="11" width="9.83203125" bestFit="1" customWidth="1"/>
    <col min="12" max="12" width="10.6640625" bestFit="1" customWidth="1"/>
    <col min="13" max="13" width="9.6640625" bestFit="1" customWidth="1"/>
    <col min="14" max="14" width="12.1640625" bestFit="1" customWidth="1"/>
    <col min="15" max="15" width="9.83203125" bestFit="1" customWidth="1"/>
    <col min="16" max="16" width="11.33203125" bestFit="1" customWidth="1"/>
    <col min="17" max="17" width="11" bestFit="1" customWidth="1"/>
    <col min="18" max="18" width="10.1640625" bestFit="1" customWidth="1"/>
    <col min="19" max="19" width="9.33203125" bestFit="1" customWidth="1"/>
    <col min="20" max="20" width="11.5" bestFit="1" customWidth="1"/>
    <col min="21" max="21" width="11.6640625" bestFit="1" customWidth="1"/>
    <col min="22" max="22" width="12" bestFit="1" customWidth="1"/>
    <col min="23" max="23" width="10.1640625" bestFit="1" customWidth="1"/>
    <col min="24" max="24" width="11.33203125" bestFit="1" customWidth="1"/>
    <col min="25" max="25" width="12.1640625" bestFit="1" customWidth="1"/>
    <col min="26" max="26" width="11" bestFit="1" customWidth="1"/>
    <col min="27" max="27" width="12.5" bestFit="1" customWidth="1"/>
    <col min="28" max="28" width="11.1640625" bestFit="1" customWidth="1"/>
    <col min="29" max="29" width="10.6640625" bestFit="1" customWidth="1"/>
  </cols>
  <sheetData>
    <row r="3" spans="1:12" x14ac:dyDescent="0.15">
      <c r="B3" s="24" t="s">
        <v>569</v>
      </c>
    </row>
    <row r="4" spans="1:12" x14ac:dyDescent="0.15">
      <c r="B4" t="s">
        <v>248</v>
      </c>
      <c r="C4" t="s">
        <v>99</v>
      </c>
      <c r="D4" t="s">
        <v>67</v>
      </c>
      <c r="E4" t="s">
        <v>44</v>
      </c>
      <c r="F4" t="s">
        <v>84</v>
      </c>
      <c r="G4" t="s">
        <v>51</v>
      </c>
      <c r="H4" t="s">
        <v>183</v>
      </c>
      <c r="I4" t="s">
        <v>165</v>
      </c>
      <c r="J4" t="s">
        <v>29</v>
      </c>
      <c r="K4" t="s">
        <v>562</v>
      </c>
      <c r="L4" t="s">
        <v>561</v>
      </c>
    </row>
    <row r="5" spans="1:12" x14ac:dyDescent="0.15">
      <c r="A5" t="s">
        <v>551</v>
      </c>
      <c r="B5" s="34">
        <v>1013200</v>
      </c>
      <c r="C5" s="34">
        <v>324500</v>
      </c>
      <c r="D5" s="34">
        <v>316600</v>
      </c>
      <c r="E5" s="34">
        <v>406600</v>
      </c>
      <c r="F5" s="34">
        <v>929900</v>
      </c>
      <c r="G5" s="34">
        <v>284400</v>
      </c>
      <c r="H5" s="34">
        <v>1027500</v>
      </c>
      <c r="I5" s="34">
        <v>452306</v>
      </c>
      <c r="J5" s="34">
        <v>947500</v>
      </c>
      <c r="K5" s="34">
        <v>107200</v>
      </c>
      <c r="L5" s="34">
        <v>5809706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851F-97F0-BF45-9BED-F02D238484DA}">
  <dimension ref="A3:B8"/>
  <sheetViews>
    <sheetView workbookViewId="0">
      <selection activeCell="D47" sqref="D47"/>
    </sheetView>
  </sheetViews>
  <sheetFormatPr baseColWidth="10" defaultRowHeight="13" x14ac:dyDescent="0.15"/>
  <cols>
    <col min="1" max="1" width="13.1640625" bestFit="1" customWidth="1"/>
    <col min="2" max="2" width="16.5" bestFit="1" customWidth="1"/>
  </cols>
  <sheetData>
    <row r="3" spans="1:2" x14ac:dyDescent="0.15">
      <c r="A3" s="24" t="s">
        <v>567</v>
      </c>
      <c r="B3" t="s">
        <v>551</v>
      </c>
    </row>
    <row r="4" spans="1:2" x14ac:dyDescent="0.15">
      <c r="A4" s="33" t="s">
        <v>35</v>
      </c>
      <c r="B4" s="34">
        <v>968300</v>
      </c>
    </row>
    <row r="5" spans="1:2" x14ac:dyDescent="0.15">
      <c r="A5" s="33" t="s">
        <v>362</v>
      </c>
      <c r="B5" s="34">
        <v>1406506</v>
      </c>
    </row>
    <row r="6" spans="1:2" x14ac:dyDescent="0.15">
      <c r="A6" s="33" t="s">
        <v>79</v>
      </c>
      <c r="B6" s="34">
        <v>1554100</v>
      </c>
    </row>
    <row r="7" spans="1:2" x14ac:dyDescent="0.15">
      <c r="A7" s="33" t="s">
        <v>158</v>
      </c>
      <c r="B7" s="34">
        <v>1880800</v>
      </c>
    </row>
    <row r="8" spans="1:2" x14ac:dyDescent="0.15">
      <c r="A8" s="33" t="s">
        <v>561</v>
      </c>
      <c r="B8" s="34">
        <v>5809706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1119-0A10-6840-940A-4707754AA2DC}">
  <dimension ref="A3:B16"/>
  <sheetViews>
    <sheetView topLeftCell="A2" workbookViewId="0">
      <selection activeCell="B5" sqref="B5"/>
    </sheetView>
  </sheetViews>
  <sheetFormatPr baseColWidth="10" defaultRowHeight="13" x14ac:dyDescent="0.15"/>
  <cols>
    <col min="1" max="1" width="13.1640625" bestFit="1" customWidth="1"/>
    <col min="2" max="2" width="16.5" bestFit="1" customWidth="1"/>
    <col min="3" max="3" width="18.5" bestFit="1" customWidth="1"/>
    <col min="4" max="4" width="8.5" bestFit="1" customWidth="1"/>
    <col min="5" max="5" width="10.6640625" bestFit="1" customWidth="1"/>
    <col min="6" max="6" width="18.5" bestFit="1" customWidth="1"/>
    <col min="7" max="7" width="8.5" bestFit="1" customWidth="1"/>
    <col min="8" max="8" width="21" bestFit="1" customWidth="1"/>
    <col min="9" max="9" width="15.6640625" bestFit="1" customWidth="1"/>
    <col min="10" max="13" width="7.1640625" bestFit="1" customWidth="1"/>
    <col min="14" max="14" width="11.1640625" bestFit="1" customWidth="1"/>
    <col min="15" max="16" width="4.1640625" bestFit="1" customWidth="1"/>
    <col min="17" max="17" width="4" bestFit="1" customWidth="1"/>
    <col min="18" max="18" width="4.5" bestFit="1" customWidth="1"/>
    <col min="19" max="19" width="4.1640625" bestFit="1" customWidth="1"/>
    <col min="20" max="20" width="3.6640625" bestFit="1" customWidth="1"/>
    <col min="21" max="22" width="4.33203125" bestFit="1" customWidth="1"/>
    <col min="23" max="23" width="4" bestFit="1" customWidth="1"/>
    <col min="24" max="25" width="4.33203125" bestFit="1" customWidth="1"/>
    <col min="26" max="26" width="21" bestFit="1" customWidth="1"/>
    <col min="27" max="27" width="15.6640625" bestFit="1" customWidth="1"/>
    <col min="28" max="28" width="19.5" bestFit="1" customWidth="1"/>
    <col min="29" max="39" width="19.33203125" bestFit="1" customWidth="1"/>
    <col min="40" max="50" width="19" bestFit="1" customWidth="1"/>
    <col min="51" max="52" width="19.83203125" bestFit="1" customWidth="1"/>
    <col min="53" max="60" width="19.33203125" bestFit="1" customWidth="1"/>
    <col min="61" max="77" width="19.1640625" bestFit="1" customWidth="1"/>
    <col min="78" max="78" width="19.33203125" bestFit="1" customWidth="1"/>
    <col min="79" max="82" width="19.5" bestFit="1" customWidth="1"/>
    <col min="83" max="106" width="19" bestFit="1" customWidth="1"/>
    <col min="107" max="109" width="19.33203125" bestFit="1" customWidth="1"/>
    <col min="110" max="121" width="19" bestFit="1" customWidth="1"/>
    <col min="122" max="130" width="19.33203125" bestFit="1" customWidth="1"/>
    <col min="131" max="131" width="19.83203125" bestFit="1" customWidth="1"/>
    <col min="132" max="151" width="20.1640625" bestFit="1" customWidth="1"/>
    <col min="152" max="152" width="10.6640625" bestFit="1" customWidth="1"/>
  </cols>
  <sheetData>
    <row r="3" spans="1:2" x14ac:dyDescent="0.15">
      <c r="A3" s="24" t="s">
        <v>567</v>
      </c>
      <c r="B3" t="s">
        <v>551</v>
      </c>
    </row>
    <row r="4" spans="1:2" x14ac:dyDescent="0.15">
      <c r="A4" s="33" t="s">
        <v>34</v>
      </c>
      <c r="B4" s="34">
        <v>73500</v>
      </c>
    </row>
    <row r="5" spans="1:2" x14ac:dyDescent="0.15">
      <c r="A5" s="33" t="s">
        <v>47</v>
      </c>
      <c r="B5" s="34">
        <v>319600</v>
      </c>
    </row>
    <row r="6" spans="1:2" x14ac:dyDescent="0.15">
      <c r="A6" s="33" t="s">
        <v>55</v>
      </c>
      <c r="B6" s="34">
        <v>575200</v>
      </c>
    </row>
    <row r="7" spans="1:2" x14ac:dyDescent="0.15">
      <c r="A7" s="33" t="s">
        <v>361</v>
      </c>
      <c r="B7" s="34">
        <v>420900</v>
      </c>
    </row>
    <row r="8" spans="1:2" x14ac:dyDescent="0.15">
      <c r="A8" s="33" t="s">
        <v>375</v>
      </c>
      <c r="B8" s="34">
        <v>396706</v>
      </c>
    </row>
    <row r="9" spans="1:2" x14ac:dyDescent="0.15">
      <c r="A9" s="33" t="s">
        <v>389</v>
      </c>
      <c r="B9" s="34">
        <v>588900</v>
      </c>
    </row>
    <row r="10" spans="1:2" x14ac:dyDescent="0.15">
      <c r="A10" s="33" t="s">
        <v>78</v>
      </c>
      <c r="B10" s="34">
        <v>877700</v>
      </c>
    </row>
    <row r="11" spans="1:2" x14ac:dyDescent="0.15">
      <c r="A11" s="33" t="s">
        <v>108</v>
      </c>
      <c r="B11" s="34">
        <v>276700</v>
      </c>
    </row>
    <row r="12" spans="1:2" x14ac:dyDescent="0.15">
      <c r="A12" s="33" t="s">
        <v>134</v>
      </c>
      <c r="B12" s="34">
        <v>399700</v>
      </c>
    </row>
    <row r="13" spans="1:2" x14ac:dyDescent="0.15">
      <c r="A13" s="33" t="s">
        <v>157</v>
      </c>
      <c r="B13" s="34">
        <v>480000</v>
      </c>
    </row>
    <row r="14" spans="1:2" x14ac:dyDescent="0.15">
      <c r="A14" s="33" t="s">
        <v>179</v>
      </c>
      <c r="B14" s="34">
        <v>423200</v>
      </c>
    </row>
    <row r="15" spans="1:2" x14ac:dyDescent="0.15">
      <c r="A15" s="33" t="s">
        <v>197</v>
      </c>
      <c r="B15" s="34">
        <v>977600</v>
      </c>
    </row>
    <row r="16" spans="1:2" x14ac:dyDescent="0.15">
      <c r="A16" s="33" t="s">
        <v>561</v>
      </c>
      <c r="B16" s="34">
        <v>5809706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39993-75E6-F84F-BC8A-A6131AED9775}">
  <dimension ref="A3:B47"/>
  <sheetViews>
    <sheetView workbookViewId="0">
      <selection activeCell="H9" sqref="H9"/>
    </sheetView>
  </sheetViews>
  <sheetFormatPr baseColWidth="10" defaultRowHeight="13" x14ac:dyDescent="0.15"/>
  <cols>
    <col min="1" max="1" width="17.83203125" bestFit="1" customWidth="1"/>
    <col min="2" max="2" width="19.6640625" bestFit="1" customWidth="1"/>
  </cols>
  <sheetData>
    <row r="3" spans="1:2" x14ac:dyDescent="0.15">
      <c r="A3" s="24" t="s">
        <v>567</v>
      </c>
      <c r="B3" t="s">
        <v>570</v>
      </c>
    </row>
    <row r="4" spans="1:2" x14ac:dyDescent="0.15">
      <c r="A4" s="33" t="s">
        <v>244</v>
      </c>
      <c r="B4" s="34">
        <v>82400</v>
      </c>
    </row>
    <row r="5" spans="1:2" x14ac:dyDescent="0.15">
      <c r="A5" s="35" t="s">
        <v>245</v>
      </c>
      <c r="B5" s="34">
        <v>89900</v>
      </c>
    </row>
    <row r="6" spans="1:2" x14ac:dyDescent="0.15">
      <c r="A6" s="35" t="s">
        <v>261</v>
      </c>
      <c r="B6" s="34">
        <v>99900</v>
      </c>
    </row>
    <row r="7" spans="1:2" x14ac:dyDescent="0.15">
      <c r="A7" s="35" t="s">
        <v>300</v>
      </c>
      <c r="B7" s="34">
        <v>69900</v>
      </c>
    </row>
    <row r="8" spans="1:2" x14ac:dyDescent="0.15">
      <c r="A8" s="33" t="s">
        <v>273</v>
      </c>
      <c r="B8" s="34">
        <v>31642.857142857141</v>
      </c>
    </row>
    <row r="9" spans="1:2" x14ac:dyDescent="0.15">
      <c r="A9" s="35" t="s">
        <v>274</v>
      </c>
      <c r="B9" s="34">
        <v>35200</v>
      </c>
    </row>
    <row r="10" spans="1:2" x14ac:dyDescent="0.15">
      <c r="A10" s="35" t="s">
        <v>288</v>
      </c>
      <c r="B10" s="34">
        <v>26900</v>
      </c>
    </row>
    <row r="11" spans="1:2" x14ac:dyDescent="0.15">
      <c r="A11" s="33" t="s">
        <v>255</v>
      </c>
      <c r="B11" s="34">
        <v>28860</v>
      </c>
    </row>
    <row r="12" spans="1:2" x14ac:dyDescent="0.15">
      <c r="A12" s="35" t="s">
        <v>256</v>
      </c>
      <c r="B12" s="34">
        <v>38900</v>
      </c>
    </row>
    <row r="13" spans="1:2" x14ac:dyDescent="0.15">
      <c r="A13" s="35" t="s">
        <v>296</v>
      </c>
      <c r="B13" s="34">
        <v>29800</v>
      </c>
    </row>
    <row r="14" spans="1:2" x14ac:dyDescent="0.15">
      <c r="A14" s="35" t="s">
        <v>278</v>
      </c>
      <c r="B14" s="34">
        <v>22900</v>
      </c>
    </row>
    <row r="15" spans="1:2" x14ac:dyDescent="0.15">
      <c r="A15" s="33" t="s">
        <v>207</v>
      </c>
      <c r="B15" s="34">
        <v>27680</v>
      </c>
    </row>
    <row r="16" spans="1:2" x14ac:dyDescent="0.15">
      <c r="A16" s="35" t="s">
        <v>406</v>
      </c>
      <c r="B16" s="34">
        <v>29800</v>
      </c>
    </row>
    <row r="17" spans="1:2" x14ac:dyDescent="0.15">
      <c r="A17" s="35" t="s">
        <v>208</v>
      </c>
      <c r="B17" s="34">
        <v>24500</v>
      </c>
    </row>
    <row r="18" spans="1:2" x14ac:dyDescent="0.15">
      <c r="A18" s="33" t="s">
        <v>217</v>
      </c>
      <c r="B18" s="34">
        <v>27300</v>
      </c>
    </row>
    <row r="19" spans="1:2" x14ac:dyDescent="0.15">
      <c r="A19" s="35" t="s">
        <v>239</v>
      </c>
      <c r="B19" s="34">
        <v>18900</v>
      </c>
    </row>
    <row r="20" spans="1:2" x14ac:dyDescent="0.15">
      <c r="A20" s="35" t="s">
        <v>218</v>
      </c>
      <c r="B20" s="34">
        <v>22900</v>
      </c>
    </row>
    <row r="21" spans="1:2" x14ac:dyDescent="0.15">
      <c r="A21" s="35" t="s">
        <v>292</v>
      </c>
      <c r="B21" s="34">
        <v>34500</v>
      </c>
    </row>
    <row r="22" spans="1:2" x14ac:dyDescent="0.15">
      <c r="A22" s="33" t="s">
        <v>222</v>
      </c>
      <c r="B22" s="34">
        <v>33047.368421052633</v>
      </c>
    </row>
    <row r="23" spans="1:2" x14ac:dyDescent="0.15">
      <c r="A23" s="35" t="s">
        <v>283</v>
      </c>
      <c r="B23" s="34">
        <v>27900</v>
      </c>
    </row>
    <row r="24" spans="1:2" x14ac:dyDescent="0.15">
      <c r="A24" s="35" t="s">
        <v>268</v>
      </c>
      <c r="B24" s="34">
        <v>22900</v>
      </c>
    </row>
    <row r="25" spans="1:2" x14ac:dyDescent="0.15">
      <c r="A25" s="35" t="s">
        <v>223</v>
      </c>
      <c r="B25" s="34">
        <v>40433.333333333336</v>
      </c>
    </row>
    <row r="26" spans="1:2" x14ac:dyDescent="0.15">
      <c r="A26" s="33" t="s">
        <v>212</v>
      </c>
      <c r="B26" s="34">
        <v>62356.25</v>
      </c>
    </row>
    <row r="27" spans="1:2" x14ac:dyDescent="0.15">
      <c r="A27" s="35" t="s">
        <v>213</v>
      </c>
      <c r="B27" s="34">
        <v>27033.333333333332</v>
      </c>
    </row>
    <row r="28" spans="1:2" x14ac:dyDescent="0.15">
      <c r="A28" s="35" t="s">
        <v>250</v>
      </c>
      <c r="B28" s="34">
        <v>51200</v>
      </c>
    </row>
    <row r="29" spans="1:2" x14ac:dyDescent="0.15">
      <c r="A29" s="35" t="s">
        <v>304</v>
      </c>
      <c r="B29" s="34">
        <v>115900</v>
      </c>
    </row>
    <row r="30" spans="1:2" x14ac:dyDescent="0.15">
      <c r="A30" s="33" t="s">
        <v>227</v>
      </c>
      <c r="B30" s="34">
        <v>42061.2</v>
      </c>
    </row>
    <row r="31" spans="1:2" x14ac:dyDescent="0.15">
      <c r="A31" s="35" t="s">
        <v>228</v>
      </c>
      <c r="B31" s="34">
        <v>89500</v>
      </c>
    </row>
    <row r="32" spans="1:2" x14ac:dyDescent="0.15">
      <c r="A32" s="35" t="s">
        <v>410</v>
      </c>
      <c r="B32" s="34">
        <v>10435.333333333334</v>
      </c>
    </row>
    <row r="33" spans="1:2" x14ac:dyDescent="0.15">
      <c r="A33" s="33" t="s">
        <v>21</v>
      </c>
      <c r="B33" s="34">
        <v>33904.109589041094</v>
      </c>
    </row>
    <row r="34" spans="1:2" x14ac:dyDescent="0.15">
      <c r="A34" s="35" t="s">
        <v>72</v>
      </c>
      <c r="B34" s="34">
        <v>39500</v>
      </c>
    </row>
    <row r="35" spans="1:2" x14ac:dyDescent="0.15">
      <c r="A35" s="35" t="s">
        <v>153</v>
      </c>
      <c r="B35" s="34">
        <v>26500</v>
      </c>
    </row>
    <row r="36" spans="1:2" x14ac:dyDescent="0.15">
      <c r="A36" s="35" t="s">
        <v>63</v>
      </c>
      <c r="B36" s="34">
        <v>28000</v>
      </c>
    </row>
    <row r="37" spans="1:2" x14ac:dyDescent="0.15">
      <c r="A37" s="35" t="s">
        <v>22</v>
      </c>
      <c r="B37" s="34">
        <v>22500</v>
      </c>
    </row>
    <row r="38" spans="1:2" x14ac:dyDescent="0.15">
      <c r="A38" s="35" t="s">
        <v>120</v>
      </c>
      <c r="B38" s="34">
        <v>31500</v>
      </c>
    </row>
    <row r="39" spans="1:2" x14ac:dyDescent="0.15">
      <c r="A39" s="35" t="s">
        <v>110</v>
      </c>
      <c r="B39" s="34">
        <v>43360</v>
      </c>
    </row>
    <row r="40" spans="1:2" x14ac:dyDescent="0.15">
      <c r="A40" s="35" t="s">
        <v>115</v>
      </c>
      <c r="B40" s="34">
        <v>58500</v>
      </c>
    </row>
    <row r="41" spans="1:2" x14ac:dyDescent="0.15">
      <c r="A41" s="35" t="s">
        <v>37</v>
      </c>
      <c r="B41" s="34">
        <v>27340.909090909092</v>
      </c>
    </row>
    <row r="42" spans="1:2" x14ac:dyDescent="0.15">
      <c r="A42" s="35" t="s">
        <v>103</v>
      </c>
      <c r="B42" s="34">
        <v>32876.923076923078</v>
      </c>
    </row>
    <row r="43" spans="1:2" x14ac:dyDescent="0.15">
      <c r="A43" s="35" t="s">
        <v>89</v>
      </c>
      <c r="B43" s="34">
        <v>56900</v>
      </c>
    </row>
    <row r="44" spans="1:2" x14ac:dyDescent="0.15">
      <c r="A44" s="35" t="s">
        <v>397</v>
      </c>
      <c r="B44" s="34">
        <v>33500</v>
      </c>
    </row>
    <row r="45" spans="1:2" x14ac:dyDescent="0.15">
      <c r="A45" s="35" t="s">
        <v>130</v>
      </c>
      <c r="B45" s="34">
        <v>35800</v>
      </c>
    </row>
    <row r="46" spans="1:2" x14ac:dyDescent="0.15">
      <c r="A46" s="35" t="s">
        <v>149</v>
      </c>
      <c r="B46" s="34">
        <v>18500</v>
      </c>
    </row>
    <row r="47" spans="1:2" x14ac:dyDescent="0.15">
      <c r="A47" s="33" t="s">
        <v>561</v>
      </c>
      <c r="B47" s="34">
        <v>38731.373333333337</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Data Cleaning Process</vt:lpstr>
      <vt:lpstr>Raw Uncleaned Data</vt:lpstr>
      <vt:lpstr>Cleaning Statge 1</vt:lpstr>
      <vt:lpstr>Cleaning Statge 2</vt:lpstr>
      <vt:lpstr>Clean Data</vt:lpstr>
      <vt:lpstr>Pivot</vt:lpstr>
      <vt:lpstr>Sales Per Region</vt:lpstr>
      <vt:lpstr>Sales By Dealer</vt:lpstr>
      <vt:lpstr>Sales by Quarter </vt:lpstr>
      <vt:lpstr>Sales Per Month</vt:lpstr>
      <vt:lpstr>AVG Sale Price by Make +Model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Karcy Ellie Monfiston</cp:lastModifiedBy>
  <cp:revision/>
  <dcterms:created xsi:type="dcterms:W3CDTF">2025-09-08T21:04:10Z</dcterms:created>
  <dcterms:modified xsi:type="dcterms:W3CDTF">2025-11-17T23:23:25Z</dcterms:modified>
  <cp:category/>
  <cp:contentStatus/>
</cp:coreProperties>
</file>
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DAB July 2025/Mid-Term DAB JULY/"/>
    </mc:Choice>
  </mc:AlternateContent>
  <xr:revisionPtr revIDLastSave="0" documentId="13_ncr:1_{71A83B73-F7D5-C043-811C-D61299F39F7F}" xr6:coauthVersionLast="47" xr6:coauthVersionMax="47" xr10:uidLastSave="{00000000-0000-0000-0000-000000000000}"/>
  <bookViews>
    <workbookView xWindow="36420" yWindow="6220" windowWidth="26240" windowHeight="14040" firstSheet="3" activeTab="10" xr2:uid="{00000000-000D-0000-FFFF-FFFF00000000}"/>
  </bookViews>
  <sheets>
    <sheet name="Sales By Region and Age Group" sheetId="3" r:id="rId1"/>
    <sheet name="Profit by State-Area" sheetId="6" r:id="rId2"/>
    <sheet name="Profit By Bike" sheetId="7" r:id="rId3"/>
    <sheet name="Cost Margins" sheetId="8" r:id="rId4"/>
    <sheet name="Sales By Gender and Age" sheetId="9" r:id="rId5"/>
    <sheet name="Bike Sales" sheetId="1" r:id="rId6"/>
    <sheet name="Data Info and Proces" sheetId="2" r:id="rId7"/>
    <sheet name="SQL Output 1" sheetId="5" r:id="rId8"/>
    <sheet name="SQL Output 2" sheetId="10" r:id="rId9"/>
    <sheet name="SQL Output 3" sheetId="11" r:id="rId10"/>
    <sheet name="SQL Output 4" sheetId="12" r:id="rId11"/>
    <sheet name="SQL Output 5" sheetId="13" r:id="rId12"/>
  </sheets>
  <definedNames>
    <definedName name="_xlnm._FilterDatabase" localSheetId="5" hidden="1">'Bike Sales'!$A$1:$U$110</definedName>
    <definedName name="_xlnm._FilterDatabase" localSheetId="10" hidden="1">'SQL Output 4'!$A$1:$G$20</definedName>
  </definedNames>
  <calcPr calcId="191028"/>
  <pivotCaches>
    <pivotCache cacheId="47" r:id="rId13"/>
    <pivotCache cacheId="58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2" l="1"/>
  <c r="B23" i="12" s="1"/>
  <c r="C21" i="12"/>
  <c r="C23" i="12" s="1"/>
  <c r="D21" i="12"/>
  <c r="D23" i="12" s="1"/>
  <c r="S41" i="1"/>
  <c r="R41" i="1"/>
  <c r="R8" i="1"/>
  <c r="R4" i="1"/>
  <c r="R5" i="1"/>
  <c r="R6" i="1"/>
  <c r="R7" i="1"/>
  <c r="R9" i="1"/>
  <c r="R10" i="1"/>
  <c r="R11" i="1"/>
  <c r="R12" i="1"/>
  <c r="R13" i="1"/>
  <c r="R14" i="1"/>
  <c r="R15" i="1"/>
  <c r="R16" i="1"/>
  <c r="R3" i="1"/>
  <c r="R18" i="1"/>
  <c r="R19" i="1"/>
  <c r="R42" i="1"/>
  <c r="R21" i="1"/>
  <c r="R22" i="1"/>
  <c r="R23" i="1"/>
  <c r="R24" i="1"/>
  <c r="R25" i="1"/>
  <c r="R43" i="1"/>
  <c r="R17" i="1"/>
  <c r="R20" i="1"/>
  <c r="R29" i="1"/>
  <c r="R30" i="1"/>
  <c r="R31" i="1"/>
  <c r="R32" i="1"/>
  <c r="R33" i="1"/>
  <c r="R34" i="1"/>
  <c r="R35" i="1"/>
  <c r="R36" i="1"/>
  <c r="R37" i="1"/>
  <c r="R50" i="1"/>
  <c r="R39" i="1"/>
  <c r="R40" i="1"/>
  <c r="R61" i="1"/>
  <c r="R82" i="1"/>
  <c r="R87" i="1"/>
  <c r="R44" i="1"/>
  <c r="R45" i="1"/>
  <c r="R46" i="1"/>
  <c r="R47" i="1"/>
  <c r="R48" i="1"/>
  <c r="R49" i="1"/>
  <c r="R88" i="1"/>
  <c r="R51" i="1"/>
  <c r="R52" i="1"/>
  <c r="R53" i="1"/>
  <c r="R54" i="1"/>
  <c r="R55" i="1"/>
  <c r="R56" i="1"/>
  <c r="R57" i="1"/>
  <c r="R58" i="1"/>
  <c r="R59" i="1"/>
  <c r="R60" i="1"/>
  <c r="R26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27" i="1"/>
  <c r="R83" i="1"/>
  <c r="R84" i="1"/>
  <c r="R85" i="1"/>
  <c r="R86" i="1"/>
  <c r="R90" i="1"/>
  <c r="R28" i="1"/>
  <c r="R89" i="1"/>
  <c r="R38" i="1"/>
  <c r="R2" i="1"/>
  <c r="S8" i="1"/>
  <c r="S4" i="1"/>
  <c r="S5" i="1"/>
  <c r="S6" i="1"/>
  <c r="S7" i="1"/>
  <c r="S9" i="1"/>
  <c r="T9" i="1" s="1"/>
  <c r="U9" i="1" s="1"/>
  <c r="S10" i="1"/>
  <c r="T10" i="1" s="1"/>
  <c r="U10" i="1" s="1"/>
  <c r="S11" i="1"/>
  <c r="S12" i="1"/>
  <c r="S13" i="1"/>
  <c r="S14" i="1"/>
  <c r="S15" i="1"/>
  <c r="S16" i="1"/>
  <c r="S3" i="1"/>
  <c r="S18" i="1"/>
  <c r="S19" i="1"/>
  <c r="T19" i="1" s="1"/>
  <c r="U19" i="1" s="1"/>
  <c r="S42" i="1"/>
  <c r="T42" i="1" s="1"/>
  <c r="U42" i="1" s="1"/>
  <c r="S21" i="1"/>
  <c r="S22" i="1"/>
  <c r="S23" i="1"/>
  <c r="S24" i="1"/>
  <c r="S25" i="1"/>
  <c r="S43" i="1"/>
  <c r="S17" i="1"/>
  <c r="S20" i="1"/>
  <c r="S29" i="1"/>
  <c r="T29" i="1" s="1"/>
  <c r="U29" i="1" s="1"/>
  <c r="S30" i="1"/>
  <c r="T30" i="1" s="1"/>
  <c r="U30" i="1" s="1"/>
  <c r="S31" i="1"/>
  <c r="S32" i="1"/>
  <c r="S33" i="1"/>
  <c r="S34" i="1"/>
  <c r="S35" i="1"/>
  <c r="S36" i="1"/>
  <c r="S37" i="1"/>
  <c r="S50" i="1"/>
  <c r="S39" i="1"/>
  <c r="T39" i="1" s="1"/>
  <c r="U39" i="1" s="1"/>
  <c r="S40" i="1"/>
  <c r="T40" i="1" s="1"/>
  <c r="U40" i="1" s="1"/>
  <c r="S61" i="1"/>
  <c r="S82" i="1"/>
  <c r="S87" i="1"/>
  <c r="S44" i="1"/>
  <c r="S45" i="1"/>
  <c r="S46" i="1"/>
  <c r="S47" i="1"/>
  <c r="S48" i="1"/>
  <c r="S49" i="1"/>
  <c r="T49" i="1" s="1"/>
  <c r="U49" i="1" s="1"/>
  <c r="S88" i="1"/>
  <c r="T88" i="1" s="1"/>
  <c r="U88" i="1" s="1"/>
  <c r="S51" i="1"/>
  <c r="S52" i="1"/>
  <c r="S53" i="1"/>
  <c r="S54" i="1"/>
  <c r="S55" i="1"/>
  <c r="S56" i="1"/>
  <c r="S57" i="1"/>
  <c r="S58" i="1"/>
  <c r="S59" i="1"/>
  <c r="T59" i="1" s="1"/>
  <c r="U59" i="1" s="1"/>
  <c r="S60" i="1"/>
  <c r="T60" i="1" s="1"/>
  <c r="U60" i="1" s="1"/>
  <c r="S26" i="1"/>
  <c r="S62" i="1"/>
  <c r="S63" i="1"/>
  <c r="S64" i="1"/>
  <c r="S65" i="1"/>
  <c r="S66" i="1"/>
  <c r="S67" i="1"/>
  <c r="S68" i="1"/>
  <c r="S69" i="1"/>
  <c r="T69" i="1" s="1"/>
  <c r="U69" i="1" s="1"/>
  <c r="S70" i="1"/>
  <c r="T70" i="1" s="1"/>
  <c r="U70" i="1" s="1"/>
  <c r="S71" i="1"/>
  <c r="S72" i="1"/>
  <c r="S73" i="1"/>
  <c r="S74" i="1"/>
  <c r="S75" i="1"/>
  <c r="S76" i="1"/>
  <c r="S77" i="1"/>
  <c r="S78" i="1"/>
  <c r="S79" i="1"/>
  <c r="T79" i="1" s="1"/>
  <c r="U79" i="1" s="1"/>
  <c r="S80" i="1"/>
  <c r="S81" i="1"/>
  <c r="S27" i="1"/>
  <c r="S83" i="1"/>
  <c r="S84" i="1"/>
  <c r="S85" i="1"/>
  <c r="S86" i="1"/>
  <c r="S90" i="1"/>
  <c r="S28" i="1"/>
  <c r="S89" i="1"/>
  <c r="T89" i="1" s="1"/>
  <c r="U89" i="1" s="1"/>
  <c r="S38" i="1"/>
  <c r="S2" i="1"/>
  <c r="T2" i="1" s="1"/>
  <c r="U2" i="1" s="1"/>
  <c r="T81" i="1" l="1"/>
  <c r="U81" i="1" s="1"/>
  <c r="T71" i="1"/>
  <c r="U71" i="1" s="1"/>
  <c r="T26" i="1"/>
  <c r="U26" i="1" s="1"/>
  <c r="T51" i="1"/>
  <c r="U51" i="1" s="1"/>
  <c r="T61" i="1"/>
  <c r="U61" i="1" s="1"/>
  <c r="T27" i="1"/>
  <c r="U27" i="1" s="1"/>
  <c r="T72" i="1"/>
  <c r="U72" i="1" s="1"/>
  <c r="T62" i="1"/>
  <c r="U62" i="1" s="1"/>
  <c r="T52" i="1"/>
  <c r="U52" i="1" s="1"/>
  <c r="T82" i="1"/>
  <c r="U82" i="1" s="1"/>
  <c r="T31" i="1"/>
  <c r="U31" i="1" s="1"/>
  <c r="T32" i="1"/>
  <c r="U32" i="1" s="1"/>
  <c r="T21" i="1"/>
  <c r="U21" i="1" s="1"/>
  <c r="T4" i="1"/>
  <c r="U4" i="1" s="1"/>
  <c r="T14" i="1"/>
  <c r="U14" i="1" s="1"/>
  <c r="T86" i="1"/>
  <c r="U86" i="1" s="1"/>
  <c r="T76" i="1"/>
  <c r="U76" i="1" s="1"/>
  <c r="T66" i="1"/>
  <c r="U66" i="1" s="1"/>
  <c r="T56" i="1"/>
  <c r="U56" i="1" s="1"/>
  <c r="T46" i="1"/>
  <c r="U46" i="1" s="1"/>
  <c r="T36" i="1"/>
  <c r="U36" i="1" s="1"/>
  <c r="T43" i="1"/>
  <c r="U43" i="1" s="1"/>
  <c r="T85" i="1"/>
  <c r="U85" i="1" s="1"/>
  <c r="T75" i="1"/>
  <c r="U75" i="1" s="1"/>
  <c r="T65" i="1"/>
  <c r="U65" i="1" s="1"/>
  <c r="T55" i="1"/>
  <c r="U55" i="1" s="1"/>
  <c r="T45" i="1"/>
  <c r="U45" i="1" s="1"/>
  <c r="T35" i="1"/>
  <c r="U35" i="1" s="1"/>
  <c r="T25" i="1"/>
  <c r="U25" i="1" s="1"/>
  <c r="T15" i="1"/>
  <c r="U15" i="1" s="1"/>
  <c r="T74" i="1"/>
  <c r="U74" i="1" s="1"/>
  <c r="T64" i="1"/>
  <c r="U64" i="1" s="1"/>
  <c r="T54" i="1"/>
  <c r="U54" i="1" s="1"/>
  <c r="T44" i="1"/>
  <c r="U44" i="1" s="1"/>
  <c r="T34" i="1"/>
  <c r="U34" i="1" s="1"/>
  <c r="T24" i="1"/>
  <c r="U24" i="1" s="1"/>
  <c r="T83" i="1"/>
  <c r="U83" i="1" s="1"/>
  <c r="T73" i="1"/>
  <c r="U73" i="1" s="1"/>
  <c r="T63" i="1"/>
  <c r="U63" i="1" s="1"/>
  <c r="T53" i="1"/>
  <c r="U53" i="1" s="1"/>
  <c r="T87" i="1"/>
  <c r="U87" i="1" s="1"/>
  <c r="T33" i="1"/>
  <c r="U33" i="1" s="1"/>
  <c r="T22" i="1"/>
  <c r="U22" i="1" s="1"/>
  <c r="T11" i="1"/>
  <c r="U11" i="1" s="1"/>
  <c r="T28" i="1"/>
  <c r="U28" i="1" s="1"/>
  <c r="T78" i="1"/>
  <c r="U78" i="1" s="1"/>
  <c r="T68" i="1"/>
  <c r="U68" i="1" s="1"/>
  <c r="T58" i="1"/>
  <c r="U58" i="1" s="1"/>
  <c r="T48" i="1"/>
  <c r="U48" i="1" s="1"/>
  <c r="T50" i="1"/>
  <c r="U50" i="1" s="1"/>
  <c r="T20" i="1"/>
  <c r="U20" i="1" s="1"/>
  <c r="T18" i="1"/>
  <c r="U18" i="1" s="1"/>
  <c r="T7" i="1"/>
  <c r="U7" i="1" s="1"/>
  <c r="T90" i="1"/>
  <c r="U90" i="1" s="1"/>
  <c r="T67" i="1"/>
  <c r="U67" i="1" s="1"/>
  <c r="T57" i="1"/>
  <c r="U57" i="1" s="1"/>
  <c r="T47" i="1"/>
  <c r="U47" i="1" s="1"/>
  <c r="T37" i="1"/>
  <c r="U37" i="1" s="1"/>
  <c r="T17" i="1"/>
  <c r="U17" i="1" s="1"/>
  <c r="T3" i="1"/>
  <c r="U3" i="1" s="1"/>
  <c r="T6" i="1"/>
  <c r="U6" i="1" s="1"/>
  <c r="T5" i="1"/>
  <c r="U5" i="1" s="1"/>
  <c r="T16" i="1"/>
  <c r="U16" i="1" s="1"/>
  <c r="T8" i="1"/>
  <c r="U8" i="1" s="1"/>
  <c r="T13" i="1"/>
  <c r="U13" i="1" s="1"/>
  <c r="T12" i="1"/>
  <c r="U12" i="1" s="1"/>
  <c r="T23" i="1"/>
  <c r="U23" i="1" s="1"/>
  <c r="T80" i="1"/>
  <c r="U80" i="1" s="1"/>
  <c r="T77" i="1"/>
  <c r="U77" i="1" s="1"/>
  <c r="T84" i="1"/>
  <c r="U84" i="1" s="1"/>
  <c r="T41" i="1"/>
  <c r="U41" i="1" s="1"/>
  <c r="T38" i="1"/>
  <c r="U38" i="1" s="1"/>
</calcChain>
</file>

<file path=xl/sharedStrings.xml><?xml version="1.0" encoding="utf-8"?>
<sst xmlns="http://schemas.openxmlformats.org/spreadsheetml/2006/main" count="1260" uniqueCount="259">
  <si>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</si>
  <si>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</si>
  <si>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</si>
  <si>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</si>
  <si>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</si>
  <si>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</si>
  <si>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</si>
  <si>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</si>
  <si>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</si>
  <si>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</si>
  <si>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</si>
  <si>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</si>
  <si>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</si>
  <si>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</si>
  <si>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</si>
  <si>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</si>
  <si>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</si>
  <si>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</si>
  <si>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</si>
  <si>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</si>
  <si>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</si>
  <si>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</si>
  <si>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</si>
  <si>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</si>
  <si>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</si>
  <si>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</si>
  <si>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</si>
  <si>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</si>
  <si>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</si>
  <si>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</si>
  <si>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</si>
  <si>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</si>
  <si>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</si>
  <si>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</si>
  <si>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</si>
  <si>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</si>
  <si>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</si>
  <si>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</si>
  <si>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</si>
  <si>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</si>
  <si>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</si>
  <si>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</si>
  <si>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</si>
  <si>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</si>
  <si>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</si>
  <si>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</si>
  <si>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</si>
  <si>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</si>
  <si>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</si>
  <si>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</si>
  <si>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</si>
  <si>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</si>
  <si>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</si>
  <si>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</si>
  <si>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</si>
  <si>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</si>
  <si>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</si>
  <si>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</si>
  <si>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</si>
  <si>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</si>
  <si>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</si>
  <si>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</si>
  <si>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</si>
  <si>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</si>
  <si>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</si>
  <si>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</si>
  <si>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Oregon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</si>
  <si>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</si>
  <si>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</si>
  <si>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</si>
  <si>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</si>
  <si>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</si>
  <si>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</si>
  <si>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</si>
  <si>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</si>
  <si>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</si>
  <si>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</si>
  <si>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</si>
  <si>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</si>
  <si>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</si>
  <si>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</si>
  <si>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</si>
  <si>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</si>
  <si>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</si>
  <si>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</si>
  <si>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</si>
  <si>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</si>
  <si>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</si>
  <si>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</si>
  <si>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</si>
  <si>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</si>
  <si>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</si>
  <si>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</si>
  <si>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</si>
  <si>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</si>
  <si>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</si>
  <si>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</si>
  <si>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</si>
  <si>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</si>
  <si>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</si>
  <si>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</si>
  <si>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</si>
  <si>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</si>
  <si>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</si>
  <si>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</si>
  <si>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</si>
  <si>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</si>
  <si>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</si>
  <si>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</si>
  <si>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</si>
  <si>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</si>
  <si>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</si>
  <si>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</si>
  <si>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</si>
  <si>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</si>
  <si>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</si>
  <si>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</si>
  <si>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</si>
  <si>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</si>
  <si>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</si>
  <si>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</si>
  <si>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</si>
  <si>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</si>
  <si>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</si>
  <si>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</si>
  <si>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</si>
  <si>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</si>
  <si>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</si>
  <si>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</si>
  <si>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</si>
  <si>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</si>
  <si>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</si>
  <si>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</si>
  <si>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</si>
  <si>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</si>
  <si>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</si>
  <si>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</si>
  <si>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</si>
  <si>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</si>
  <si>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</si>
  <si>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</si>
  <si>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</si>
  <si>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</si>
  <si>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</si>
  <si>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</si>
  <si>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</si>
  <si>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</si>
  <si>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</si>
  <si>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</si>
  <si>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</si>
  <si>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</si>
  <si>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</si>
  <si>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Data Type</t>
  </si>
  <si>
    <t>Description</t>
  </si>
  <si>
    <t>Business Value</t>
  </si>
  <si>
    <t>Missing data</t>
  </si>
  <si>
    <t>Inconsistent data</t>
  </si>
  <si>
    <t>for 000261709 sales order the age group is missing fillin base on age column</t>
  </si>
  <si>
    <t>sales order 000261704; missing on row 12, able to fillin from date 12/5/21</t>
  </si>
  <si>
    <t>Fixed spaceing for United states</t>
  </si>
  <si>
    <t xml:space="preserve">Fillin missing data (1) with Unknown </t>
  </si>
  <si>
    <t>Unknown</t>
  </si>
  <si>
    <t xml:space="preserve"> Base on the info  we  have  Unit Price: $540, Unit Cost: $295, Total Profit: $245: We can look to the amt of profit to calculate the order amt  and base on that 1 bike was sold</t>
  </si>
  <si>
    <t>sales order 000261702 has price of 0.00 but returned a profit ???, look at the unit price of other mountain-400 W silver, 42 bikes to get the right unitprice which shows in other rows as 769.00 fillin with this value</t>
  </si>
  <si>
    <t xml:space="preserve">There are duplicates in sales order number however they look like unique sales of muliple items in 1 order </t>
  </si>
  <si>
    <t>True Profit</t>
  </si>
  <si>
    <t>created a new column "True Profit" to recalculate the profit since looking at the data the numbers did not seem correct ( Revenue - Cost= true profit)</t>
  </si>
  <si>
    <t>Sum of Revenue</t>
  </si>
  <si>
    <t>Column Labels</t>
  </si>
  <si>
    <t>Row Labels</t>
  </si>
  <si>
    <t>(blank)</t>
  </si>
  <si>
    <t>Grand Total</t>
  </si>
  <si>
    <t>Total Sum of Revenue</t>
  </si>
  <si>
    <t>Total Count of Age_Group</t>
  </si>
  <si>
    <t>Count of Age_Group</t>
  </si>
  <si>
    <t>Sum of True Profit</t>
  </si>
  <si>
    <t xml:space="preserve">Sum of  Cost </t>
  </si>
  <si>
    <t>Cost Margins</t>
  </si>
  <si>
    <t>Sum of Cost Margins</t>
  </si>
  <si>
    <t>Created cost margins after I notice in the pivot table that sum of profits may be lower than cost</t>
  </si>
  <si>
    <t>Age group 35 -65 had the highest sales ( revenue)</t>
  </si>
  <si>
    <t>Females spent the most overall</t>
  </si>
  <si>
    <t>California had the highest sales by far</t>
  </si>
  <si>
    <t>top selling bikes had higher costs than profits overall</t>
  </si>
  <si>
    <t xml:space="preserve">General Comments/ Findings </t>
  </si>
  <si>
    <t>Column Name</t>
  </si>
  <si>
    <t>number</t>
  </si>
  <si>
    <t>Unique sales order iddentifer</t>
  </si>
  <si>
    <t>allows to see  track order and collect / link customer info</t>
  </si>
  <si>
    <t>date sales occurred</t>
  </si>
  <si>
    <t>Can tracker if there is a moth that have high sales or low sales</t>
  </si>
  <si>
    <t>Number</t>
  </si>
  <si>
    <t>day of moth sales occurred</t>
  </si>
  <si>
    <t>tracks the day of moth, you can see if weekends sales are higher , or if end of the month have lower or higher sales</t>
  </si>
  <si>
    <t>String</t>
  </si>
  <si>
    <t>Month sales occurred</t>
  </si>
  <si>
    <t>tracks  the month the sale, you can see if summer and spring  sales are higher than winter  since the product is for outdoor activity</t>
  </si>
  <si>
    <t>Year the sales occurred</t>
  </si>
  <si>
    <t>all sales are for the same year, so no major value now but will prove valable to tracker year over year metrics and serve as a baseline.</t>
  </si>
  <si>
    <t>age of customer per bike</t>
  </si>
  <si>
    <t>this can help you see what age is actually buying the bikes and help you target the market more spec.</t>
  </si>
  <si>
    <t xml:space="preserve">age range of customer </t>
  </si>
  <si>
    <t>same as above, can use age spefic marketing</t>
  </si>
  <si>
    <t>gender</t>
  </si>
  <si>
    <t>Understanding which gender is spending the most can also help narrow down messaging in ads , website layout and more</t>
  </si>
  <si>
    <t>Location contry</t>
  </si>
  <si>
    <t xml:space="preserve">Need to know if there are coutry spefics rules, regulations, tax consideration </t>
  </si>
  <si>
    <t>location state</t>
  </si>
  <si>
    <t>Helps to target customer base by using reginal messaging and offers</t>
  </si>
  <si>
    <t>Type of product</t>
  </si>
  <si>
    <t>general catergory of product</t>
  </si>
  <si>
    <t xml:space="preserve">refined product type </t>
  </si>
  <si>
    <t>model of product</t>
  </si>
  <si>
    <t>This allows you to see how a each model is performing and compare model performance.</t>
  </si>
  <si>
    <t>how many were sold</t>
  </si>
  <si>
    <t>this allows you to know how popular a model is.</t>
  </si>
  <si>
    <t>Currency</t>
  </si>
  <si>
    <t>how much it costs the company to make per product</t>
  </si>
  <si>
    <t xml:space="preserve">This shows you much you are spending to make and sell the model, unit cost should be as low as possible while retaining quality. </t>
  </si>
  <si>
    <t>how much it costs the customer to purchase</t>
  </si>
  <si>
    <t xml:space="preserve">The price the company is charging each customer, can use this information to gauge how much customers are willing to spend </t>
  </si>
  <si>
    <t xml:space="preserve">The  diference  between the cost amd price </t>
  </si>
  <si>
    <t>This represent the money the company walks away with and we want to make sure profits are higher than cost otherwise  it means the company is losing money.</t>
  </si>
  <si>
    <t>how much it costs the company to make sum by amounts of units sold</t>
  </si>
  <si>
    <t xml:space="preserve">see unit cost but aggragated </t>
  </si>
  <si>
    <t>Sum of price by amouts sold</t>
  </si>
  <si>
    <t xml:space="preserve">See unit price but aggragated </t>
  </si>
  <si>
    <t>TotalOrders</t>
  </si>
  <si>
    <t>Code</t>
  </si>
  <si>
    <t>SELECT Country, COUNT(*) AS TotalOrders
FROM Bike
GROUP BY Country
ORDER BY TotalOrders DESC;</t>
  </si>
  <si>
    <t>Avg_Revenue</t>
  </si>
  <si>
    <t>MinPrice</t>
  </si>
  <si>
    <t>MaxPrice</t>
  </si>
  <si>
    <t>SELECT 
    MIN(Unit_Price) AS MinPrice,
    MAX(Unit_Price) AS MaxPrice
FROM Bike;</t>
  </si>
  <si>
    <t>SELECT 
    MIN("Cost Margins") AS MinPrice,
    MAX("Cost Margins") AS MaxPrice
FROM Bike;</t>
  </si>
  <si>
    <t>Avg_Cost_Margins</t>
  </si>
  <si>
    <t>SELECT 
    Product_Description,
      round (AVG(Revenue) ,2) AS Avg_Revenue
FROM Bike
GROUP BY Product_Description
ORDER BY Avg_Revenue DESC;</t>
  </si>
  <si>
    <t>SELECT 
    Product_Description,
    round (AVG("True Profit"),2)  AS Avg_True_Profit
FROM Bike
GROUP BY Product_Description
ORDER BY Avg_True_Profit DESC;</t>
  </si>
  <si>
    <t>SELECT 
    Product_Description,
    round (AVG("Cost Margins"),2)  AS Avg_Cost_Margins
FROM Bike
GROUP BY Product_Description
ORDER BY Avg_Cost_Margins DESC;</t>
  </si>
  <si>
    <t>Avg_True_Profit</t>
  </si>
  <si>
    <t>Total_Revenue</t>
  </si>
  <si>
    <t>Total_Cost</t>
  </si>
  <si>
    <t>Total_True_Profit</t>
  </si>
  <si>
    <t>Profit_Percentage</t>
  </si>
  <si>
    <t>SELECT 
    Product_Description,
    ROUND(SUM(Revenue), 2) AS Total_Revenue,
    ROUND(SUM(Cost), 2) AS Total_Cost,
    ROUND(SUM("True Profit"), 2) AS Total_True_Profit,
-- calculate Profit % = (True Profit / Cost) * 100
    ROUND( 
        (SUM("True Profit") * 1.0 / SUM(Cost)) * 100,
        2
    ) AS Profit_Percentage
FROM Bike
GROUP BY Product_Description
ORDER BY Profit_Percentage DESC;</t>
  </si>
  <si>
    <t>Top_Age_Group</t>
  </si>
  <si>
    <t>Top_Gender</t>
  </si>
  <si>
    <t>Male Sum</t>
  </si>
  <si>
    <t>Female Sum</t>
  </si>
  <si>
    <t>WITH ProfitSummary AS (
    SELECT 
        Product_Description,
        ROUND(SUM(Revenue), 2) AS Total_Revenue,
        ROUND(SUM(Cost), 2) AS Total_Cost,
        ROUND(SUM("True Profit"), 2) AS Total_True_Profit,
        ROUND( 
            (SUM("True Profit") * 1.0 / SUM(Cost)) * 100,
            2
        ) AS Profit_Percentage
    FROM Bike
    GROUP BY Product_Description
),
AgeGroupCounts AS (
    SELECT 
        Product_Description,
        Age_Group,
        COUNT(*) AS AgeGroup_Count,
        ROW_NUMBER() OVER (
            PARTITION BY Product_Description ORDER BY COUNT(*) DESC
        ) AS rn
    FROM Bike
    GROUP BY Product_Description, Age_Group
),
GenderCounts AS (
    SELECT 
        Product_Description,
        Customer_Gender,
        COUNT(*) AS Gender_Count,
        ROW_NUMBER() OVER (
            PARTITION BY Product_Description ORDER BY COUNT(*) DESC
        ) AS rn
    FROM Bike
    GROUP BY Product_Description, Customer_Gender
)
SELECT 
    p.Product_Description,
    p.Total_Revenue,
    p.Total_Cost,
    p.Total_True_Profit,
    p.Profit_Percentage,
    a.Age_Group AS Top_Age_Group,
    g.Customer_Gender AS Top_Gender
FROM ProfitSummary p
LEFT JOIN AgeGroupCounts a 
    ON p.Product_Description = a.Product_Description 
   AND a.rn = 1
LEFT JOIN GenderCounts g 
    ON p.Product_Description = g.Product_Description 
   AND g.rn = 1
ORDER BY p.Profit_Percentage DESC;</t>
  </si>
  <si>
    <t>Country_Profit_Percentage</t>
  </si>
  <si>
    <t>Country_True_Profit</t>
  </si>
  <si>
    <t>State_Profit_Percentage</t>
  </si>
  <si>
    <t>State_True_Profit</t>
  </si>
  <si>
    <t>WITH CountryProfit AS (
    SELECT 
        Country,
        SUM("True Profit") AS Total_True_Profit,
        SUM(Cost) AS Total_Cost,
        ROUND( (SUM("True Profit") * 1.0 / SUM(Cost)) * 100, 2 ) AS Profit_Percentage
    FROM Bike
    GROUP BY Country
),
-- Step 2 find  state  profit for each country
StateProfit AS (
    SELECT 
        Country,
        State,
        SUM("True Profit") AS Total_True_Profit,
        SUM(Cost) AS Total_Cost,
        ROUND( (SUM("True Profit") * 1.0 / SUM(Cost)) * 100, 2 ) AS Profit_Percentage
    FROM Bike
    GROUP BY Country, State
)
-- Step 3  displays  result: ranked countries + states by true profit and % of profit aka money per dollar 82%  = made 0.82 cents for every dollar spent on cost
SELECT 
    cp.Country,
    cp.Profit_Percentage AS Country_Profit_Percentage,
    cp.Total_True_Profit AS Country_True_Profit,
    sp.State,
    sp.Profit_Percentage AS State_Profit_Percentage,
    sp.Total_True_Profit AS State_True_Profit
FROM CountryProfit cp
LEFT JOIN StateProfit sp 
    ON cp.Country = sp.Country
ORDER BY 
    cp.Profit_Percentage DESC,
    cp.Total_True_Profit DESC,
    sp.Profit_Percentage DESC;</t>
  </si>
  <si>
    <t>Business question 3 where  (location) is the target audience by profit -- SQL Output 5</t>
  </si>
  <si>
    <t>Business question 2 who is the target audience by profit -- SQL Output 4</t>
  </si>
  <si>
    <t>Business Question 1: Which bike was most profitable -- SQL Output 3</t>
  </si>
  <si>
    <t>Note Cost Margins calculation was not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</si>
</sst>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&quot;$&quot;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 (Body)"/>
    </font>
    <font>
      <sz val="14"/>
      <color theme="1"/>
      <name val="Calibri (Body)"/>
    </font>
    <font>
      <b/>
      <sz val="14"/>
      <color rgb="FF000000"/>
      <name val="Calibri (Body)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American Typewriter"/>
      <family val="1"/>
    </font>
    <font>
      <b/>
      <sz val="10"/>
      <color rgb="FFC00000"/>
      <name val="American Typewriter"/>
      <family val="1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10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167" fontId="16" fillId="0" borderId="10" xfId="0" applyNumberFormat="1" applyFon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0" fontId="21" fillId="0" borderId="10" xfId="0" applyNumberFormat="1" applyFont="1" applyBorder="1" applyAlignment="1">
      <alignment horizontal="center" vertical="center"/>
    </xf>
    <xf numFmtId="166" fontId="21" fillId="0" borderId="10" xfId="0" applyNumberFormat="1" applyFont="1" applyBorder="1" applyAlignment="1">
      <alignment horizontal="center" vertical="center"/>
    </xf>
    <xf numFmtId="167" fontId="21" fillId="0" borderId="1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0" xfId="0" applyFont="1"/>
    <xf numFmtId="0" fontId="0" fillId="0" borderId="0" xfId="0" applyFont="1"/>
    <xf numFmtId="0" fontId="0" fillId="0" borderId="0" xfId="0" applyAlignment="1">
      <alignment wrapText="1"/>
    </xf>
    <xf numFmtId="2" fontId="16" fillId="0" borderId="0" xfId="0" applyNumberFormat="1" applyFont="1"/>
    <xf numFmtId="2" fontId="29" fillId="0" borderId="0" xfId="0" applyNumberFormat="1" applyFont="1"/>
    <xf numFmtId="0" fontId="30" fillId="0" borderId="0" xfId="0" applyFont="1"/>
    <xf numFmtId="0" fontId="29" fillId="0" borderId="0" xfId="0" applyFont="1" applyAlignment="1">
      <alignment horizontal="center" vertical="center"/>
    </xf>
    <xf numFmtId="0" fontId="2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31" fillId="34" borderId="0" xfId="0" applyFont="1" applyFill="1"/>
    <xf numFmtId="0" fontId="31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 Term Bike Sales Data_Analysis_DAB JULY 2025 KM.xlsx]Sales By Region and Age Group!PivotTable10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333471409075275E-2"/>
          <c:y val="2.371508379888268E-2"/>
          <c:w val="0.90120756283518566"/>
          <c:h val="0.92469162995594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 and Age Group'!$B$3:$B$5</c:f>
              <c:strCache>
                <c:ptCount val="1"/>
                <c:pt idx="0">
                  <c:v>Sum of Revenue - Adults (35-64)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Group'!$B$6:$B$24</c:f>
              <c:numCache>
                <c:formatCode>General</c:formatCode>
                <c:ptCount val="18"/>
                <c:pt idx="1">
                  <c:v>62183</c:v>
                </c:pt>
                <c:pt idx="2">
                  <c:v>9230</c:v>
                </c:pt>
                <c:pt idx="3">
                  <c:v>2320</c:v>
                </c:pt>
                <c:pt idx="4">
                  <c:v>6910</c:v>
                </c:pt>
                <c:pt idx="5">
                  <c:v>26848</c:v>
                </c:pt>
                <c:pt idx="7">
                  <c:v>20780</c:v>
                </c:pt>
                <c:pt idx="8">
                  <c:v>27270</c:v>
                </c:pt>
                <c:pt idx="9">
                  <c:v>32180</c:v>
                </c:pt>
                <c:pt idx="15">
                  <c:v>4640</c:v>
                </c:pt>
                <c:pt idx="16">
                  <c:v>16190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D844-AC38-6AF8E1A8095A}"/>
            </c:ext>
          </c:extLst>
        </c:ser>
        <c:ser>
          <c:idx val="1"/>
          <c:order val="1"/>
          <c:tx>
            <c:strRef>
              <c:f>'Sales By Region and Age Group'!$C$3:$C$5</c:f>
              <c:strCache>
                <c:ptCount val="1"/>
                <c:pt idx="0">
                  <c:v>Sum of Revenue - Young Adults (25-34)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Group'!$C$6:$C$24</c:f>
              <c:numCache>
                <c:formatCode>General</c:formatCode>
                <c:ptCount val="18"/>
                <c:pt idx="0">
                  <c:v>20080</c:v>
                </c:pt>
                <c:pt idx="1">
                  <c:v>12821</c:v>
                </c:pt>
                <c:pt idx="2">
                  <c:v>4602</c:v>
                </c:pt>
                <c:pt idx="5">
                  <c:v>13794</c:v>
                </c:pt>
                <c:pt idx="8">
                  <c:v>2320</c:v>
                </c:pt>
                <c:pt idx="9">
                  <c:v>6960</c:v>
                </c:pt>
                <c:pt idx="10">
                  <c:v>13770</c:v>
                </c:pt>
                <c:pt idx="11">
                  <c:v>2320</c:v>
                </c:pt>
                <c:pt idx="13">
                  <c:v>6960</c:v>
                </c:pt>
                <c:pt idx="15">
                  <c:v>21019</c:v>
                </c:pt>
                <c:pt idx="16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5-D844-AC38-6AF8E1A8095A}"/>
            </c:ext>
          </c:extLst>
        </c:ser>
        <c:ser>
          <c:idx val="2"/>
          <c:order val="2"/>
          <c:tx>
            <c:strRef>
              <c:f>'Sales By Region and Age Group'!$D$3:$D$5</c:f>
              <c:strCache>
                <c:ptCount val="1"/>
                <c:pt idx="0">
                  <c:v>Sum of Revenue - Youth (&lt;25)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Group'!$D$6:$D$24</c:f>
              <c:numCache>
                <c:formatCode>General</c:formatCode>
                <c:ptCount val="18"/>
                <c:pt idx="2">
                  <c:v>6140</c:v>
                </c:pt>
                <c:pt idx="5">
                  <c:v>2825</c:v>
                </c:pt>
                <c:pt idx="6">
                  <c:v>9280</c:v>
                </c:pt>
                <c:pt idx="10">
                  <c:v>6885</c:v>
                </c:pt>
                <c:pt idx="12">
                  <c:v>6960</c:v>
                </c:pt>
                <c:pt idx="14">
                  <c:v>1080</c:v>
                </c:pt>
                <c:pt idx="15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5-D844-AC38-6AF8E1A8095A}"/>
            </c:ext>
          </c:extLst>
        </c:ser>
        <c:ser>
          <c:idx val="3"/>
          <c:order val="3"/>
          <c:tx>
            <c:strRef>
              <c:f>'Sales By Region and Age Group'!$E$3:$E$5</c:f>
              <c:strCache>
                <c:ptCount val="1"/>
                <c:pt idx="0">
                  <c:v>Sum of Revenue - 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Group'!$E$6:$E$24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4-0E45-D844-AC38-6AF8E1A8095A}"/>
            </c:ext>
          </c:extLst>
        </c:ser>
        <c:ser>
          <c:idx val="4"/>
          <c:order val="4"/>
          <c:tx>
            <c:strRef>
              <c:f>'Sales By Region and Age Group'!$F$3:$F$5</c:f>
              <c:strCache>
                <c:ptCount val="1"/>
                <c:pt idx="0">
                  <c:v>Count of Age_Group - Adults (35-64)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Group'!$F$6:$F$24</c:f>
              <c:numCache>
                <c:formatCode>General</c:formatCode>
                <c:ptCount val="18"/>
                <c:pt idx="1">
                  <c:v>15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5">
                  <c:v>2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45-D844-AC38-6AF8E1A8095A}"/>
            </c:ext>
          </c:extLst>
        </c:ser>
        <c:ser>
          <c:idx val="5"/>
          <c:order val="5"/>
          <c:tx>
            <c:strRef>
              <c:f>'Sales By Region and Age Group'!$G$3:$G$5</c:f>
              <c:strCache>
                <c:ptCount val="1"/>
                <c:pt idx="0">
                  <c:v>Count of Age_Group - Young Adults (25-34)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Group'!$G$6:$G$24</c:f>
              <c:numCache>
                <c:formatCode>General</c:formatCode>
                <c:ptCount val="18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5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3">
                  <c:v>1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45-D844-AC38-6AF8E1A8095A}"/>
            </c:ext>
          </c:extLst>
        </c:ser>
        <c:ser>
          <c:idx val="6"/>
          <c:order val="6"/>
          <c:tx>
            <c:strRef>
              <c:f>'Sales By Region and Age Group'!$H$3:$H$5</c:f>
              <c:strCache>
                <c:ptCount val="1"/>
                <c:pt idx="0">
                  <c:v>Count of Age_Group - Youth (&lt;25)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Group'!$H$6:$H$24</c:f>
              <c:numCache>
                <c:formatCode>General</c:formatCode>
                <c:ptCount val="18"/>
                <c:pt idx="2">
                  <c:v>3</c:v>
                </c:pt>
                <c:pt idx="5">
                  <c:v>2</c:v>
                </c:pt>
                <c:pt idx="6">
                  <c:v>1</c:v>
                </c:pt>
                <c:pt idx="10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45-D844-AC38-6AF8E1A8095A}"/>
            </c:ext>
          </c:extLst>
        </c:ser>
        <c:ser>
          <c:idx val="7"/>
          <c:order val="7"/>
          <c:tx>
            <c:strRef>
              <c:f>'Sales By Region and Age Group'!$I$3:$I$5</c:f>
              <c:strCache>
                <c:ptCount val="1"/>
                <c:pt idx="0">
                  <c:v>Count of Age_Group - (blank)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Region and Age Group'!$A$6:$A$24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'Sales By Region and Age Group'!$I$6:$I$24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8-0E45-D844-AC38-6AF8E1A8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82912"/>
        <c:axId val="193746208"/>
      </c:barChart>
      <c:catAx>
        <c:axId val="19378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46208"/>
        <c:crosses val="autoZero"/>
        <c:auto val="1"/>
        <c:lblAlgn val="ctr"/>
        <c:lblOffset val="100"/>
        <c:noMultiLvlLbl val="0"/>
      </c:catAx>
      <c:valAx>
        <c:axId val="1937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 Term Bike Sales Data_Analysis_DAB JULY 2025 KM.xlsx]Profit by State-Area!PivotTable13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State-Area'!$B$3</c:f>
              <c:strCache>
                <c:ptCount val="1"/>
                <c:pt idx="0">
                  <c:v>Sum of True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State-Area'!$A$4:$A$22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'Profit by State-Area'!$B$4:$B$22</c:f>
              <c:numCache>
                <c:formatCode>General</c:formatCode>
                <c:ptCount val="18"/>
                <c:pt idx="0">
                  <c:v>9123</c:v>
                </c:pt>
                <c:pt idx="1">
                  <c:v>36583</c:v>
                </c:pt>
                <c:pt idx="2">
                  <c:v>9072</c:v>
                </c:pt>
                <c:pt idx="3">
                  <c:v>1054</c:v>
                </c:pt>
                <c:pt idx="4">
                  <c:v>3140</c:v>
                </c:pt>
                <c:pt idx="5">
                  <c:v>19751</c:v>
                </c:pt>
                <c:pt idx="6">
                  <c:v>4216</c:v>
                </c:pt>
                <c:pt idx="7">
                  <c:v>9442</c:v>
                </c:pt>
                <c:pt idx="8">
                  <c:v>13220</c:v>
                </c:pt>
                <c:pt idx="9">
                  <c:v>17786</c:v>
                </c:pt>
                <c:pt idx="10">
                  <c:v>9387</c:v>
                </c:pt>
                <c:pt idx="11">
                  <c:v>1054</c:v>
                </c:pt>
                <c:pt idx="12">
                  <c:v>3162</c:v>
                </c:pt>
                <c:pt idx="13">
                  <c:v>3162</c:v>
                </c:pt>
                <c:pt idx="14">
                  <c:v>490</c:v>
                </c:pt>
                <c:pt idx="15">
                  <c:v>12299</c:v>
                </c:pt>
                <c:pt idx="16">
                  <c:v>14114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E-6E49-979E-148AF231992E}"/>
            </c:ext>
          </c:extLst>
        </c:ser>
        <c:ser>
          <c:idx val="1"/>
          <c:order val="1"/>
          <c:tx>
            <c:strRef>
              <c:f>'Profit by State-Area'!$C$3</c:f>
              <c:strCache>
                <c:ptCount val="1"/>
                <c:pt idx="0">
                  <c:v>Sum of  Cost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State-Area'!$A$4:$A$22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'Profit by State-Area'!$C$4:$C$22</c:f>
              <c:numCache>
                <c:formatCode>General</c:formatCode>
                <c:ptCount val="18"/>
                <c:pt idx="0">
                  <c:v>10957</c:v>
                </c:pt>
                <c:pt idx="1">
                  <c:v>38421</c:v>
                </c:pt>
                <c:pt idx="2">
                  <c:v>10900</c:v>
                </c:pt>
                <c:pt idx="3">
                  <c:v>1266</c:v>
                </c:pt>
                <c:pt idx="4">
                  <c:v>3770</c:v>
                </c:pt>
                <c:pt idx="5">
                  <c:v>23716</c:v>
                </c:pt>
                <c:pt idx="6">
                  <c:v>5064</c:v>
                </c:pt>
                <c:pt idx="7">
                  <c:v>11338</c:v>
                </c:pt>
                <c:pt idx="8">
                  <c:v>16370</c:v>
                </c:pt>
                <c:pt idx="9">
                  <c:v>21354</c:v>
                </c:pt>
                <c:pt idx="10">
                  <c:v>11268</c:v>
                </c:pt>
                <c:pt idx="11">
                  <c:v>1266</c:v>
                </c:pt>
                <c:pt idx="12">
                  <c:v>3798</c:v>
                </c:pt>
                <c:pt idx="13">
                  <c:v>3798</c:v>
                </c:pt>
                <c:pt idx="14">
                  <c:v>590</c:v>
                </c:pt>
                <c:pt idx="15">
                  <c:v>15520</c:v>
                </c:pt>
                <c:pt idx="16">
                  <c:v>17076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E-6E49-979E-148AF231992E}"/>
            </c:ext>
          </c:extLst>
        </c:ser>
        <c:ser>
          <c:idx val="2"/>
          <c:order val="2"/>
          <c:tx>
            <c:strRef>
              <c:f>'Profit by State-Area'!$D$3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State-Area'!$A$4:$A$22</c:f>
              <c:strCache>
                <c:ptCount val="18"/>
                <c:pt idx="0">
                  <c:v>British Columbia</c:v>
                </c:pt>
                <c:pt idx="1">
                  <c:v>California</c:v>
                </c:pt>
                <c:pt idx="2">
                  <c:v>England</c:v>
                </c:pt>
                <c:pt idx="3">
                  <c:v>Hamburg</c:v>
                </c:pt>
                <c:pt idx="4">
                  <c:v>Hessen</c:v>
                </c:pt>
                <c:pt idx="5">
                  <c:v>New South Wales</c:v>
                </c:pt>
                <c:pt idx="6">
                  <c:v>Nord</c:v>
                </c:pt>
                <c:pt idx="7">
                  <c:v>Nordrhein-Westfalen</c:v>
                </c:pt>
                <c:pt idx="8">
                  <c:v>Oregon</c:v>
                </c:pt>
                <c:pt idx="9">
                  <c:v>Queensland</c:v>
                </c:pt>
                <c:pt idx="10">
                  <c:v>Seine (Paris)</c:v>
                </c:pt>
                <c:pt idx="11">
                  <c:v>Seine et Marne</c:v>
                </c:pt>
                <c:pt idx="12">
                  <c:v>Seine Saint Denis</c:v>
                </c:pt>
                <c:pt idx="13">
                  <c:v>Somme</c:v>
                </c:pt>
                <c:pt idx="14">
                  <c:v>South Australia</c:v>
                </c:pt>
                <c:pt idx="15">
                  <c:v>Victoria</c:v>
                </c:pt>
                <c:pt idx="16">
                  <c:v>Washington</c:v>
                </c:pt>
                <c:pt idx="17">
                  <c:v>(blank)</c:v>
                </c:pt>
              </c:strCache>
            </c:strRef>
          </c:cat>
          <c:val>
            <c:numRef>
              <c:f>'Profit by State-Area'!$D$4:$D$22</c:f>
              <c:numCache>
                <c:formatCode>General</c:formatCode>
                <c:ptCount val="18"/>
                <c:pt idx="0">
                  <c:v>20080</c:v>
                </c:pt>
                <c:pt idx="1">
                  <c:v>75004</c:v>
                </c:pt>
                <c:pt idx="2">
                  <c:v>19972</c:v>
                </c:pt>
                <c:pt idx="3">
                  <c:v>2320</c:v>
                </c:pt>
                <c:pt idx="4">
                  <c:v>6910</c:v>
                </c:pt>
                <c:pt idx="5">
                  <c:v>43467</c:v>
                </c:pt>
                <c:pt idx="6">
                  <c:v>9280</c:v>
                </c:pt>
                <c:pt idx="7">
                  <c:v>20780</c:v>
                </c:pt>
                <c:pt idx="8">
                  <c:v>29590</c:v>
                </c:pt>
                <c:pt idx="9">
                  <c:v>39140</c:v>
                </c:pt>
                <c:pt idx="10">
                  <c:v>20655</c:v>
                </c:pt>
                <c:pt idx="11">
                  <c:v>2320</c:v>
                </c:pt>
                <c:pt idx="12">
                  <c:v>6960</c:v>
                </c:pt>
                <c:pt idx="13">
                  <c:v>6960</c:v>
                </c:pt>
                <c:pt idx="14">
                  <c:v>1080</c:v>
                </c:pt>
                <c:pt idx="15">
                  <c:v>27819</c:v>
                </c:pt>
                <c:pt idx="16">
                  <c:v>31190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E-6E49-979E-148AF2319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390864"/>
        <c:axId val="311196784"/>
      </c:lineChart>
      <c:catAx>
        <c:axId val="31139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96784"/>
        <c:crosses val="autoZero"/>
        <c:auto val="1"/>
        <c:lblAlgn val="ctr"/>
        <c:lblOffset val="100"/>
        <c:noMultiLvlLbl val="0"/>
      </c:catAx>
      <c:valAx>
        <c:axId val="3111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9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 Term Bike Sales Data_Analysis_DAB JULY 2025 KM.xlsx]Profit By Bike!PivotTable14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020283346382829E-2"/>
          <c:y val="3.6363636363636362E-2"/>
          <c:w val="0.84614535167156635"/>
          <c:h val="0.77114745884037228"/>
        </c:manualLayout>
      </c:layout>
      <c:lineChart>
        <c:grouping val="standard"/>
        <c:varyColors val="0"/>
        <c:ser>
          <c:idx val="0"/>
          <c:order val="0"/>
          <c:tx>
            <c:strRef>
              <c:f>'Profit By Bike'!$B$3</c:f>
              <c:strCache>
                <c:ptCount val="1"/>
                <c:pt idx="0">
                  <c:v>Sum of True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Bike'!$A$4:$A$24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'Profit By Bike'!$B$4:$B$24</c:f>
              <c:numCache>
                <c:formatCode>General</c:formatCode>
                <c:ptCount val="20"/>
                <c:pt idx="0">
                  <c:v>8862</c:v>
                </c:pt>
                <c:pt idx="1">
                  <c:v>5908</c:v>
                </c:pt>
                <c:pt idx="2">
                  <c:v>1488</c:v>
                </c:pt>
                <c:pt idx="3">
                  <c:v>28161</c:v>
                </c:pt>
                <c:pt idx="4">
                  <c:v>16688</c:v>
                </c:pt>
                <c:pt idx="5">
                  <c:v>35880</c:v>
                </c:pt>
                <c:pt idx="6">
                  <c:v>26350</c:v>
                </c:pt>
                <c:pt idx="7">
                  <c:v>15810</c:v>
                </c:pt>
                <c:pt idx="8">
                  <c:v>10540</c:v>
                </c:pt>
                <c:pt idx="9">
                  <c:v>2094</c:v>
                </c:pt>
                <c:pt idx="10">
                  <c:v>3141</c:v>
                </c:pt>
                <c:pt idx="11">
                  <c:v>4537</c:v>
                </c:pt>
                <c:pt idx="12">
                  <c:v>735</c:v>
                </c:pt>
                <c:pt idx="13">
                  <c:v>490</c:v>
                </c:pt>
                <c:pt idx="14">
                  <c:v>980</c:v>
                </c:pt>
                <c:pt idx="15">
                  <c:v>735</c:v>
                </c:pt>
                <c:pt idx="16">
                  <c:v>257</c:v>
                </c:pt>
                <c:pt idx="17">
                  <c:v>2313</c:v>
                </c:pt>
                <c:pt idx="18">
                  <c:v>2086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0-524D-83F6-C7FE19A55D3B}"/>
            </c:ext>
          </c:extLst>
        </c:ser>
        <c:ser>
          <c:idx val="1"/>
          <c:order val="1"/>
          <c:tx>
            <c:strRef>
              <c:f>'Profit By Bike'!$C$3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Bike'!$A$4:$A$24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'Profit By Bike'!$C$4:$C$24</c:f>
              <c:numCache>
                <c:formatCode>General</c:formatCode>
                <c:ptCount val="20"/>
                <c:pt idx="0">
                  <c:v>20250</c:v>
                </c:pt>
                <c:pt idx="1">
                  <c:v>13500</c:v>
                </c:pt>
                <c:pt idx="2">
                  <c:v>3400</c:v>
                </c:pt>
                <c:pt idx="3">
                  <c:v>61965</c:v>
                </c:pt>
                <c:pt idx="4">
                  <c:v>36720</c:v>
                </c:pt>
                <c:pt idx="5">
                  <c:v>73440</c:v>
                </c:pt>
                <c:pt idx="6">
                  <c:v>58000</c:v>
                </c:pt>
                <c:pt idx="7">
                  <c:v>34800</c:v>
                </c:pt>
                <c:pt idx="8">
                  <c:v>23200</c:v>
                </c:pt>
                <c:pt idx="9">
                  <c:v>4614</c:v>
                </c:pt>
                <c:pt idx="10">
                  <c:v>6921</c:v>
                </c:pt>
                <c:pt idx="11">
                  <c:v>9997</c:v>
                </c:pt>
                <c:pt idx="12">
                  <c:v>1620</c:v>
                </c:pt>
                <c:pt idx="13">
                  <c:v>1080</c:v>
                </c:pt>
                <c:pt idx="14">
                  <c:v>2160</c:v>
                </c:pt>
                <c:pt idx="15">
                  <c:v>1620</c:v>
                </c:pt>
                <c:pt idx="16">
                  <c:v>565</c:v>
                </c:pt>
                <c:pt idx="17">
                  <c:v>5085</c:v>
                </c:pt>
                <c:pt idx="18">
                  <c:v>4590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0-524D-83F6-C7FE19A55D3B}"/>
            </c:ext>
          </c:extLst>
        </c:ser>
        <c:ser>
          <c:idx val="2"/>
          <c:order val="2"/>
          <c:tx>
            <c:strRef>
              <c:f>'Profit By Bike'!$D$3</c:f>
              <c:strCache>
                <c:ptCount val="1"/>
                <c:pt idx="0">
                  <c:v>Sum of  Cost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Bike'!$A$4:$A$24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'Profit By Bike'!$D$4:$D$24</c:f>
              <c:numCache>
                <c:formatCode>General</c:formatCode>
                <c:ptCount val="20"/>
                <c:pt idx="0">
                  <c:v>11388</c:v>
                </c:pt>
                <c:pt idx="1">
                  <c:v>7592</c:v>
                </c:pt>
                <c:pt idx="2">
                  <c:v>1912</c:v>
                </c:pt>
                <c:pt idx="3">
                  <c:v>33804</c:v>
                </c:pt>
                <c:pt idx="4">
                  <c:v>20032</c:v>
                </c:pt>
                <c:pt idx="5">
                  <c:v>37560</c:v>
                </c:pt>
                <c:pt idx="6">
                  <c:v>31650</c:v>
                </c:pt>
                <c:pt idx="7">
                  <c:v>18990</c:v>
                </c:pt>
                <c:pt idx="8">
                  <c:v>12660</c:v>
                </c:pt>
                <c:pt idx="9">
                  <c:v>2520</c:v>
                </c:pt>
                <c:pt idx="10">
                  <c:v>3780</c:v>
                </c:pt>
                <c:pt idx="11">
                  <c:v>5460</c:v>
                </c:pt>
                <c:pt idx="12">
                  <c:v>885</c:v>
                </c:pt>
                <c:pt idx="13">
                  <c:v>590</c:v>
                </c:pt>
                <c:pt idx="14">
                  <c:v>1180</c:v>
                </c:pt>
                <c:pt idx="15">
                  <c:v>885</c:v>
                </c:pt>
                <c:pt idx="16">
                  <c:v>308</c:v>
                </c:pt>
                <c:pt idx="17">
                  <c:v>2772</c:v>
                </c:pt>
                <c:pt idx="18">
                  <c:v>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0-524D-83F6-C7FE19A55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778559"/>
        <c:axId val="299630592"/>
      </c:lineChart>
      <c:catAx>
        <c:axId val="31377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0592"/>
        <c:crosses val="autoZero"/>
        <c:auto val="1"/>
        <c:lblAlgn val="ctr"/>
        <c:lblOffset val="100"/>
        <c:noMultiLvlLbl val="0"/>
      </c:catAx>
      <c:valAx>
        <c:axId val="2996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7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 Term Bike Sales Data_Analysis_DAB JULY 2025 KM.xlsx]Cost Margins!PivotTable15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Margins'!$B$3</c:f>
              <c:strCache>
                <c:ptCount val="1"/>
                <c:pt idx="0">
                  <c:v>Sum of True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Margins'!$A$4:$A$24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'Cost Margins'!$B$4:$B$24</c:f>
              <c:numCache>
                <c:formatCode>General</c:formatCode>
                <c:ptCount val="20"/>
                <c:pt idx="0">
                  <c:v>8862</c:v>
                </c:pt>
                <c:pt idx="1">
                  <c:v>5908</c:v>
                </c:pt>
                <c:pt idx="2">
                  <c:v>1488</c:v>
                </c:pt>
                <c:pt idx="3">
                  <c:v>28161</c:v>
                </c:pt>
                <c:pt idx="4">
                  <c:v>16688</c:v>
                </c:pt>
                <c:pt idx="5">
                  <c:v>35880</c:v>
                </c:pt>
                <c:pt idx="6">
                  <c:v>26350</c:v>
                </c:pt>
                <c:pt idx="7">
                  <c:v>15810</c:v>
                </c:pt>
                <c:pt idx="8">
                  <c:v>10540</c:v>
                </c:pt>
                <c:pt idx="9">
                  <c:v>2094</c:v>
                </c:pt>
                <c:pt idx="10">
                  <c:v>3141</c:v>
                </c:pt>
                <c:pt idx="11">
                  <c:v>4537</c:v>
                </c:pt>
                <c:pt idx="12">
                  <c:v>735</c:v>
                </c:pt>
                <c:pt idx="13">
                  <c:v>490</c:v>
                </c:pt>
                <c:pt idx="14">
                  <c:v>980</c:v>
                </c:pt>
                <c:pt idx="15">
                  <c:v>735</c:v>
                </c:pt>
                <c:pt idx="16">
                  <c:v>257</c:v>
                </c:pt>
                <c:pt idx="17">
                  <c:v>2313</c:v>
                </c:pt>
                <c:pt idx="18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3D4A-B823-A6261B6D86AF}"/>
            </c:ext>
          </c:extLst>
        </c:ser>
        <c:ser>
          <c:idx val="1"/>
          <c:order val="1"/>
          <c:tx>
            <c:strRef>
              <c:f>'Cost Margins'!$C$3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Margins'!$A$4:$A$24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'Cost Margins'!$C$4:$C$24</c:f>
              <c:numCache>
                <c:formatCode>General</c:formatCode>
                <c:ptCount val="20"/>
                <c:pt idx="0">
                  <c:v>20250</c:v>
                </c:pt>
                <c:pt idx="1">
                  <c:v>13500</c:v>
                </c:pt>
                <c:pt idx="2">
                  <c:v>3400</c:v>
                </c:pt>
                <c:pt idx="3">
                  <c:v>61965</c:v>
                </c:pt>
                <c:pt idx="4">
                  <c:v>36720</c:v>
                </c:pt>
                <c:pt idx="5">
                  <c:v>73440</c:v>
                </c:pt>
                <c:pt idx="6">
                  <c:v>58000</c:v>
                </c:pt>
                <c:pt idx="7">
                  <c:v>34800</c:v>
                </c:pt>
                <c:pt idx="8">
                  <c:v>23200</c:v>
                </c:pt>
                <c:pt idx="9">
                  <c:v>4614</c:v>
                </c:pt>
                <c:pt idx="10">
                  <c:v>6921</c:v>
                </c:pt>
                <c:pt idx="11">
                  <c:v>9997</c:v>
                </c:pt>
                <c:pt idx="12">
                  <c:v>1620</c:v>
                </c:pt>
                <c:pt idx="13">
                  <c:v>1080</c:v>
                </c:pt>
                <c:pt idx="14">
                  <c:v>2160</c:v>
                </c:pt>
                <c:pt idx="15">
                  <c:v>1620</c:v>
                </c:pt>
                <c:pt idx="16">
                  <c:v>565</c:v>
                </c:pt>
                <c:pt idx="17">
                  <c:v>5085</c:v>
                </c:pt>
                <c:pt idx="18">
                  <c:v>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3D4A-B823-A6261B6D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28431"/>
        <c:axId val="333930079"/>
      </c:barChart>
      <c:lineChart>
        <c:grouping val="standard"/>
        <c:varyColors val="0"/>
        <c:ser>
          <c:idx val="2"/>
          <c:order val="2"/>
          <c:tx>
            <c:strRef>
              <c:f>'Cost Margins'!$D$3</c:f>
              <c:strCache>
                <c:ptCount val="1"/>
                <c:pt idx="0">
                  <c:v>Sum of  Cost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 Margins'!$A$4:$A$24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'Cost Margins'!$D$4:$D$24</c:f>
              <c:numCache>
                <c:formatCode>General</c:formatCode>
                <c:ptCount val="20"/>
                <c:pt idx="0">
                  <c:v>11388</c:v>
                </c:pt>
                <c:pt idx="1">
                  <c:v>7592</c:v>
                </c:pt>
                <c:pt idx="2">
                  <c:v>1912</c:v>
                </c:pt>
                <c:pt idx="3">
                  <c:v>33804</c:v>
                </c:pt>
                <c:pt idx="4">
                  <c:v>20032</c:v>
                </c:pt>
                <c:pt idx="5">
                  <c:v>37560</c:v>
                </c:pt>
                <c:pt idx="6">
                  <c:v>31650</c:v>
                </c:pt>
                <c:pt idx="7">
                  <c:v>18990</c:v>
                </c:pt>
                <c:pt idx="8">
                  <c:v>12660</c:v>
                </c:pt>
                <c:pt idx="9">
                  <c:v>2520</c:v>
                </c:pt>
                <c:pt idx="10">
                  <c:v>3780</c:v>
                </c:pt>
                <c:pt idx="11">
                  <c:v>5460</c:v>
                </c:pt>
                <c:pt idx="12">
                  <c:v>885</c:v>
                </c:pt>
                <c:pt idx="13">
                  <c:v>590</c:v>
                </c:pt>
                <c:pt idx="14">
                  <c:v>1180</c:v>
                </c:pt>
                <c:pt idx="15">
                  <c:v>885</c:v>
                </c:pt>
                <c:pt idx="16">
                  <c:v>308</c:v>
                </c:pt>
                <c:pt idx="17">
                  <c:v>2772</c:v>
                </c:pt>
                <c:pt idx="18">
                  <c:v>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42-3D4A-B823-A6261B6D86AF}"/>
            </c:ext>
          </c:extLst>
        </c:ser>
        <c:ser>
          <c:idx val="3"/>
          <c:order val="3"/>
          <c:tx>
            <c:strRef>
              <c:f>'Cost Margins'!$E$3</c:f>
              <c:strCache>
                <c:ptCount val="1"/>
                <c:pt idx="0">
                  <c:v>Sum of Cost Margins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'Cost Margins'!$A$4:$A$24</c:f>
              <c:strCache>
                <c:ptCount val="20"/>
                <c:pt idx="0">
                  <c:v>Mountain-100 Black, 38</c:v>
                </c:pt>
                <c:pt idx="1">
                  <c:v>Mountain-100 Black, 48</c:v>
                </c:pt>
                <c:pt idx="2">
                  <c:v>Mountain-100 Silver, 44</c:v>
                </c:pt>
                <c:pt idx="3">
                  <c:v>Mountain-200 Black, 38</c:v>
                </c:pt>
                <c:pt idx="4">
                  <c:v>Mountain-200 Black, 42</c:v>
                </c:pt>
                <c:pt idx="5">
                  <c:v>Mountain-200 Black, 46</c:v>
                </c:pt>
                <c:pt idx="6">
                  <c:v>Mountain-200 Silver, 38</c:v>
                </c:pt>
                <c:pt idx="7">
                  <c:v>Mountain-200 Silver, 42</c:v>
                </c:pt>
                <c:pt idx="8">
                  <c:v>Mountain-200 Silver, 46</c:v>
                </c:pt>
                <c:pt idx="9">
                  <c:v>Mountain-400-W Silver, 38</c:v>
                </c:pt>
                <c:pt idx="10">
                  <c:v>Mountain-400-W Silver, 42</c:v>
                </c:pt>
                <c:pt idx="11">
                  <c:v>Mountain-400-W Silver, 46</c:v>
                </c:pt>
                <c:pt idx="12">
                  <c:v>Mountain-500 Black, 40</c:v>
                </c:pt>
                <c:pt idx="13">
                  <c:v>Mountain-500 Black, 42</c:v>
                </c:pt>
                <c:pt idx="14">
                  <c:v>Mountain-500 Black, 44</c:v>
                </c:pt>
                <c:pt idx="15">
                  <c:v>Mountain-500 Black, 52</c:v>
                </c:pt>
                <c:pt idx="16">
                  <c:v>Mountain-500 Silver, 40</c:v>
                </c:pt>
                <c:pt idx="17">
                  <c:v>Mountain-500 Silver, 42</c:v>
                </c:pt>
                <c:pt idx="18">
                  <c:v>Unknown</c:v>
                </c:pt>
                <c:pt idx="19">
                  <c:v>(blank)</c:v>
                </c:pt>
              </c:strCache>
            </c:strRef>
          </c:cat>
          <c:val>
            <c:numRef>
              <c:f>'Cost Margins'!$E$4:$E$24</c:f>
              <c:numCache>
                <c:formatCode>General</c:formatCode>
                <c:ptCount val="20"/>
                <c:pt idx="0">
                  <c:v>-2526</c:v>
                </c:pt>
                <c:pt idx="1">
                  <c:v>-1684</c:v>
                </c:pt>
                <c:pt idx="2">
                  <c:v>-424</c:v>
                </c:pt>
                <c:pt idx="3">
                  <c:v>-5643</c:v>
                </c:pt>
                <c:pt idx="4">
                  <c:v>-3344</c:v>
                </c:pt>
                <c:pt idx="5">
                  <c:v>-1680</c:v>
                </c:pt>
                <c:pt idx="6">
                  <c:v>-5300</c:v>
                </c:pt>
                <c:pt idx="7">
                  <c:v>-3180</c:v>
                </c:pt>
                <c:pt idx="8">
                  <c:v>-2120</c:v>
                </c:pt>
                <c:pt idx="9">
                  <c:v>-426</c:v>
                </c:pt>
                <c:pt idx="10">
                  <c:v>-639</c:v>
                </c:pt>
                <c:pt idx="11">
                  <c:v>-923</c:v>
                </c:pt>
                <c:pt idx="12">
                  <c:v>-150</c:v>
                </c:pt>
                <c:pt idx="13">
                  <c:v>-100</c:v>
                </c:pt>
                <c:pt idx="14">
                  <c:v>-200</c:v>
                </c:pt>
                <c:pt idx="15">
                  <c:v>-150</c:v>
                </c:pt>
                <c:pt idx="16">
                  <c:v>-51</c:v>
                </c:pt>
                <c:pt idx="17">
                  <c:v>-459</c:v>
                </c:pt>
                <c:pt idx="18">
                  <c:v>-418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42-3D4A-B823-A6261B6D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928431"/>
        <c:axId val="333930079"/>
      </c:lineChart>
      <c:catAx>
        <c:axId val="3339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30079"/>
        <c:auto val="1"/>
        <c:lblAlgn val="ctr"/>
        <c:lblOffset val="100"/>
        <c:noMultiLvlLbl val="0"/>
      </c:catAx>
      <c:valAx>
        <c:axId val="3339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2843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25400</xdr:rowOff>
    </xdr:from>
    <xdr:to>
      <xdr:col>24</xdr:col>
      <xdr:colOff>279400</xdr:colOff>
      <xdr:row>51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F8A3A-F3FE-1A40-93F7-FDECCC7FC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1016000</xdr:colOff>
      <xdr:row>10</xdr:row>
      <xdr:rowOff>76200</xdr:rowOff>
    </xdr:from>
    <xdr:to>
      <xdr:col>14</xdr:col>
      <xdr:colOff>190500</xdr:colOff>
      <xdr:row>48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9610D-AF2D-0B47-B5E9-31573B6CB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15</xdr:row>
      <xdr:rowOff>0</xdr:rowOff>
    </xdr:from>
    <xdr:to>
      <xdr:col>12</xdr:col>
      <xdr:colOff>495300</xdr:colOff>
      <xdr:row>44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CC5DA-27CA-9441-9B6A-75CBEF938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21</xdr:row>
      <xdr:rowOff>0</xdr:rowOff>
    </xdr:from>
    <xdr:to>
      <xdr:col>13</xdr:col>
      <xdr:colOff>241300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BC1C5-10AD-B84B-8AB3-7F369AD5D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cy Ellie Monfiston" refreshedDate="45978.964667592591" createdVersion="7" refreshedVersion="7" minRefreshableVersion="3" recordCount="91" xr:uid="{6A20084E-5B84-2C4E-A25A-634C10631BD2}">
  <cacheSource type="worksheet">
    <worksheetSource ref="A1:T1048576" sheet="Bike Sales"/>
  </cacheSource>
  <cacheFields count="20">
    <cacheField name="Sales_Order #" numFmtId="0">
      <sharedItems containsBlank="1" containsMixedTypes="1" containsNumber="1" containsInteger="1" minValue="261704" maxValue="261716"/>
    </cacheField>
    <cacheField name="Date" numFmtId="166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 count="25">
        <n v="1"/>
        <n v="6"/>
        <n v="2"/>
        <n v="3"/>
        <n v="4"/>
        <n v="5"/>
        <n v="10"/>
        <n v="7"/>
        <n v="8"/>
        <n v="9"/>
        <n v="18"/>
        <n v="22"/>
        <n v="23"/>
        <n v="11"/>
        <n v="24"/>
        <n v="12"/>
        <n v="13"/>
        <n v="14"/>
        <n v="16"/>
        <n v="17"/>
        <n v="19"/>
        <n v="20"/>
        <n v="21"/>
        <n v="15"/>
        <m/>
      </sharedItems>
    </cacheField>
    <cacheField name="Month" numFmtId="0">
      <sharedItems containsBlank="1" count="3">
        <s v="December"/>
        <s v="Decmber"/>
        <m/>
      </sharedItems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/>
    </cacheField>
    <cacheField name="Country" numFmtId="0">
      <sharedItems containsBlank="1" count="7">
        <s v="United States"/>
        <s v="Australia"/>
        <s v="United Kingdom"/>
        <s v="Germany"/>
        <s v="Canada"/>
        <s v="France"/>
        <m/>
      </sharedItems>
    </cacheField>
    <cacheField name="State" numFmtId="0">
      <sharedItems containsBlank="1" count="18">
        <s v="California"/>
        <s v="New South Wales"/>
        <s v="England"/>
        <s v="Washington"/>
        <s v="Nordrhein-Westfalen"/>
        <s v="Queensland"/>
        <s v="British Columbia"/>
        <s v="Oregon"/>
        <s v="Victoria"/>
        <s v="Seine (Paris)"/>
        <s v="Hamburg"/>
        <s v="Seine et Marne"/>
        <s v="Seine Saint Denis"/>
        <s v="Nord"/>
        <s v="South Australia"/>
        <s v="Hessen"/>
        <s v="Somme"/>
        <m/>
      </sharedItems>
    </cacheField>
    <cacheField name="Product_Category" numFmtId="0">
      <sharedItems containsBlank="1" count="2">
        <s v="Bikes"/>
        <m/>
      </sharedItems>
    </cacheField>
    <cacheField name="Sub_Category" numFmtId="0">
      <sharedItems containsBlank="1" count="2">
        <s v="Mountain Bikes"/>
        <m/>
      </sharedItems>
    </cacheField>
    <cacheField name="Product_Description" numFmtId="0">
      <sharedItems containsBlank="1" count="20">
        <s v="Mountain-200 Black, 46"/>
        <s v="Mountain-200 Black, 42"/>
        <s v="Mountain-400-W Silver, 46"/>
        <s v="Mountain-400-W Silver, 42"/>
        <s v="Mountain-200 Black, 38"/>
        <s v="Mountain-200 Silver, 42"/>
        <s v="Mountain-200 Silver, 38"/>
        <s v="Mountain-400-W Silver, 38"/>
        <s v="Mountain-500 Silver, 42"/>
        <s v="Unknown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  <m/>
      </sharedItems>
    </cacheField>
    <cacheField name="Order_Quantity" numFmtId="0">
      <sharedItems containsString="0" containsBlank="1" containsNumber="1" containsInteger="1" minValue="1" maxValue="4"/>
    </cacheField>
    <cacheField name=" Unit_Cost " numFmtId="167">
      <sharedItems containsString="0" containsBlank="1" containsNumber="1" containsInteger="1" minValue="0" maxValue="1912"/>
    </cacheField>
    <cacheField name=" Unit_Price " numFmtId="167">
      <sharedItems containsString="0" containsBlank="1" containsNumber="1" containsInteger="1" minValue="540" maxValue="3400"/>
    </cacheField>
    <cacheField name=" Profit " numFmtId="167">
      <sharedItems containsString="0" containsBlank="1" containsNumber="1" containsInteger="1" minValue="245" maxValue="5908"/>
    </cacheField>
    <cacheField name=" Cost " numFmtId="167">
      <sharedItems containsString="0" containsBlank="1" containsNumber="1" containsInteger="1" minValue="0" maxValue="7592" count="23">
        <n v="5008"/>
        <n v="1252"/>
        <n v="840"/>
        <n v="420"/>
        <n v="0"/>
        <n v="1266"/>
        <n v="1680"/>
        <n v="1260"/>
        <n v="2504"/>
        <n v="1232"/>
        <n v="5064"/>
        <n v="295"/>
        <n v="3796"/>
        <n v="3756"/>
        <n v="1912"/>
        <n v="2532"/>
        <n v="308"/>
        <n v="3798"/>
        <n v="1180"/>
        <n v="7592"/>
        <n v="590"/>
        <n v="885"/>
        <m/>
      </sharedItems>
    </cacheField>
    <cacheField name="Revenue" numFmtId="167">
      <sharedItems containsString="0" containsBlank="1" containsNumber="1" containsInteger="1" minValue="540" maxValue="13500" count="22">
        <n v="9180"/>
        <n v="2295"/>
        <n v="1538"/>
        <n v="769"/>
        <n v="4590"/>
        <n v="2320"/>
        <n v="3076"/>
        <n v="2307"/>
        <n v="2260"/>
        <n v="9280"/>
        <n v="540"/>
        <n v="6750"/>
        <n v="6885"/>
        <n v="3400"/>
        <n v="4640"/>
        <n v="565"/>
        <n v="6960"/>
        <n v="2160"/>
        <n v="13500"/>
        <n v="1080"/>
        <n v="1620"/>
        <m/>
      </sharedItems>
    </cacheField>
    <cacheField name="True Profit" numFmtId="0">
      <sharedItems containsString="0" containsBlank="1" containsNumber="1" containsInteger="1" minValue="245" maxValue="5908" count="23">
        <n v="4172"/>
        <n v="1043"/>
        <n v="698"/>
        <n v="349"/>
        <n v="4590"/>
        <n v="1054"/>
        <n v="1396"/>
        <n v="1047"/>
        <n v="2086"/>
        <n v="1028"/>
        <n v="4216"/>
        <n v="245"/>
        <n v="2954"/>
        <n v="3129"/>
        <n v="1488"/>
        <n v="2108"/>
        <n v="257"/>
        <n v="3162"/>
        <n v="980"/>
        <n v="5908"/>
        <n v="490"/>
        <n v="7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cy Ellie Monfiston" refreshedDate="45978.985113773146" createdVersion="7" refreshedVersion="7" minRefreshableVersion="3" recordCount="110" xr:uid="{876A7336-647D-E84C-A17C-BB981A0D24BF}">
  <cacheSource type="worksheet">
    <worksheetSource ref="A1:U1048576" sheet="Bike Sales"/>
  </cacheSource>
  <cacheFields count="21">
    <cacheField name="Sales_Order #" numFmtId="0">
      <sharedItems containsBlank="1" containsMixedTypes="1" containsNumber="1" containsInteger="1" minValue="261704" maxValue="261716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/>
    </cacheField>
    <cacheField name="State" numFmtId="0">
      <sharedItems containsBlank="1"/>
    </cacheField>
    <cacheField name="Product_Category" numFmtId="0">
      <sharedItems containsBlank="1" count="2">
        <s v="Bikes"/>
        <m/>
      </sharedItems>
    </cacheField>
    <cacheField name="Sub_Category" numFmtId="0">
      <sharedItems containsBlank="1"/>
    </cacheField>
    <cacheField name="Product_Description" numFmtId="0">
      <sharedItems containsBlank="1" count="20">
        <s v="Mountain-200 Black, 46"/>
        <s v="Mountain-200 Black, 42"/>
        <s v="Mountain-400-W Silver, 46"/>
        <s v="Mountain-400-W Silver, 42"/>
        <s v="Mountain-200 Black, 38"/>
        <s v="Mountain-200 Silver, 42"/>
        <s v="Mountain-200 Silver, 38"/>
        <s v="Mountain-400-W Silver, 38"/>
        <s v="Mountain-500 Silver, 42"/>
        <s v="Unknown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  <m/>
      </sharedItems>
    </cacheField>
    <cacheField name="Order_Quantity" numFmtId="0">
      <sharedItems containsString="0" containsBlank="1" containsNumber="1" containsInteger="1" minValue="1" maxValue="4"/>
    </cacheField>
    <cacheField name=" Unit_Cost " numFmtId="167">
      <sharedItems containsString="0" containsBlank="1" containsNumber="1" containsInteger="1" minValue="0" maxValue="1912"/>
    </cacheField>
    <cacheField name=" Unit_Price " numFmtId="167">
      <sharedItems containsString="0" containsBlank="1" containsNumber="1" containsInteger="1" minValue="540" maxValue="3400"/>
    </cacheField>
    <cacheField name=" Profit " numFmtId="167">
      <sharedItems containsString="0" containsBlank="1" containsNumber="1" containsInteger="1" minValue="245" maxValue="5908"/>
    </cacheField>
    <cacheField name=" Cost " numFmtId="167">
      <sharedItems containsString="0" containsBlank="1" containsNumber="1" containsInteger="1" minValue="0" maxValue="7592" count="23">
        <n v="5008"/>
        <n v="1252"/>
        <n v="840"/>
        <n v="420"/>
        <n v="0"/>
        <n v="1266"/>
        <n v="1680"/>
        <n v="1260"/>
        <n v="2504"/>
        <n v="1232"/>
        <n v="5064"/>
        <n v="295"/>
        <n v="3796"/>
        <n v="3756"/>
        <n v="1912"/>
        <n v="2532"/>
        <n v="308"/>
        <n v="3798"/>
        <n v="1180"/>
        <n v="7592"/>
        <n v="590"/>
        <n v="885"/>
        <m/>
      </sharedItems>
    </cacheField>
    <cacheField name="Revenue" numFmtId="167">
      <sharedItems containsString="0" containsBlank="1" containsNumber="1" containsInteger="1" minValue="540" maxValue="13500" count="22">
        <n v="9180"/>
        <n v="2295"/>
        <n v="1538"/>
        <n v="769"/>
        <n v="4590"/>
        <n v="2320"/>
        <n v="3076"/>
        <n v="2307"/>
        <n v="2260"/>
        <n v="9280"/>
        <n v="540"/>
        <n v="6750"/>
        <n v="6885"/>
        <n v="3400"/>
        <n v="4640"/>
        <n v="565"/>
        <n v="6960"/>
        <n v="2160"/>
        <n v="13500"/>
        <n v="1080"/>
        <n v="1620"/>
        <m/>
      </sharedItems>
    </cacheField>
    <cacheField name="True Profit" numFmtId="0">
      <sharedItems containsString="0" containsBlank="1" containsNumber="1" containsInteger="1" minValue="245" maxValue="5908" count="23">
        <n v="4172"/>
        <n v="1043"/>
        <n v="698"/>
        <n v="349"/>
        <n v="4590"/>
        <n v="1054"/>
        <n v="1396"/>
        <n v="1047"/>
        <n v="2086"/>
        <n v="1028"/>
        <n v="4216"/>
        <n v="245"/>
        <n v="2954"/>
        <n v="3129"/>
        <n v="1488"/>
        <n v="2108"/>
        <n v="257"/>
        <n v="3162"/>
        <n v="980"/>
        <n v="5908"/>
        <n v="490"/>
        <n v="735"/>
        <m/>
      </sharedItems>
    </cacheField>
    <cacheField name="Cost Margins" numFmtId="0">
      <sharedItems containsString="0" containsBlank="1" containsNumber="1" containsInteger="1" minValue="-1684" maxValue="4590" count="22">
        <n v="-836"/>
        <n v="-209"/>
        <n v="-142"/>
        <n v="-71"/>
        <n v="4590"/>
        <n v="-212"/>
        <n v="-284"/>
        <n v="-213"/>
        <n v="-418"/>
        <n v="-204"/>
        <n v="-848"/>
        <n v="-50"/>
        <n v="-842"/>
        <n v="-627"/>
        <n v="-424"/>
        <n v="-51"/>
        <n v="-636"/>
        <n v="-200"/>
        <n v="-1684"/>
        <n v="-100"/>
        <n v="-1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000261695"/>
    <d v="2021-12-01T00:00:00"/>
    <x v="0"/>
    <x v="0"/>
    <n v="2021"/>
    <n v="39"/>
    <x v="0"/>
    <s v="F"/>
    <x v="0"/>
    <x v="0"/>
    <x v="0"/>
    <x v="0"/>
    <x v="0"/>
    <n v="4"/>
    <n v="1252"/>
    <n v="2295"/>
    <n v="4172"/>
    <x v="0"/>
    <x v="0"/>
    <x v="0"/>
  </r>
  <r>
    <n v="261709"/>
    <d v="2021-12-06T00:00:00"/>
    <x v="1"/>
    <x v="0"/>
    <n v="2021"/>
    <n v="36"/>
    <x v="0"/>
    <s v="M"/>
    <x v="1"/>
    <x v="1"/>
    <x v="0"/>
    <x v="0"/>
    <x v="1"/>
    <n v="1"/>
    <n v="1252"/>
    <n v="2295"/>
    <n v="1043"/>
    <x v="1"/>
    <x v="1"/>
    <x v="1"/>
  </r>
  <r>
    <s v="000261697"/>
    <d v="2021-12-02T00:00:00"/>
    <x v="2"/>
    <x v="0"/>
    <n v="2021"/>
    <n v="37"/>
    <x v="0"/>
    <s v="M"/>
    <x v="0"/>
    <x v="0"/>
    <x v="0"/>
    <x v="0"/>
    <x v="2"/>
    <n v="2"/>
    <n v="420"/>
    <n v="769"/>
    <n v="698"/>
    <x v="2"/>
    <x v="2"/>
    <x v="2"/>
  </r>
  <r>
    <s v="000261698"/>
    <d v="2021-12-02T00:00:00"/>
    <x v="2"/>
    <x v="0"/>
    <n v="2021"/>
    <n v="31"/>
    <x v="1"/>
    <s v="F"/>
    <x v="1"/>
    <x v="1"/>
    <x v="0"/>
    <x v="0"/>
    <x v="3"/>
    <n v="1"/>
    <n v="420"/>
    <n v="769"/>
    <n v="349"/>
    <x v="3"/>
    <x v="3"/>
    <x v="3"/>
  </r>
  <r>
    <s v="000261699"/>
    <d v="2021-12-03T00:00:00"/>
    <x v="3"/>
    <x v="0"/>
    <n v="2021"/>
    <n v="37"/>
    <x v="0"/>
    <s v="F"/>
    <x v="0"/>
    <x v="0"/>
    <x v="0"/>
    <x v="0"/>
    <x v="0"/>
    <n v="2"/>
    <n v="0"/>
    <n v="2295"/>
    <n v="2086"/>
    <x v="4"/>
    <x v="4"/>
    <x v="4"/>
  </r>
  <r>
    <s v="000261700"/>
    <d v="2021-12-03T00:00:00"/>
    <x v="3"/>
    <x v="0"/>
    <n v="2021"/>
    <n v="24"/>
    <x v="2"/>
    <s v="F"/>
    <x v="2"/>
    <x v="2"/>
    <x v="0"/>
    <x v="0"/>
    <x v="4"/>
    <n v="1"/>
    <n v="1252"/>
    <n v="2295"/>
    <n v="1043"/>
    <x v="1"/>
    <x v="1"/>
    <x v="1"/>
  </r>
  <r>
    <s v="000261695"/>
    <d v="2021-12-01T00:00:00"/>
    <x v="0"/>
    <x v="0"/>
    <n v="2021"/>
    <n v="44"/>
    <x v="0"/>
    <s v="M"/>
    <x v="2"/>
    <x v="2"/>
    <x v="0"/>
    <x v="0"/>
    <x v="5"/>
    <n v="1"/>
    <n v="1266"/>
    <n v="2320"/>
    <n v="1054"/>
    <x v="5"/>
    <x v="5"/>
    <x v="5"/>
  </r>
  <r>
    <s v="000261701"/>
    <d v="2021-12-03T00:00:00"/>
    <x v="3"/>
    <x v="0"/>
    <n v="2021"/>
    <n v="37"/>
    <x v="0"/>
    <s v="M"/>
    <x v="0"/>
    <x v="3"/>
    <x v="0"/>
    <x v="0"/>
    <x v="0"/>
    <n v="1"/>
    <n v="1252"/>
    <n v="2295"/>
    <n v="1043"/>
    <x v="1"/>
    <x v="1"/>
    <x v="1"/>
  </r>
  <r>
    <s v="000261702"/>
    <d v="2021-12-04T00:00:00"/>
    <x v="4"/>
    <x v="0"/>
    <n v="2021"/>
    <n v="31"/>
    <x v="1"/>
    <s v="F"/>
    <x v="1"/>
    <x v="1"/>
    <x v="0"/>
    <x v="0"/>
    <x v="3"/>
    <n v="4"/>
    <n v="420"/>
    <n v="769"/>
    <n v="1396"/>
    <x v="6"/>
    <x v="6"/>
    <x v="6"/>
  </r>
  <r>
    <s v="000261703"/>
    <d v="2021-12-05T00:00:00"/>
    <x v="5"/>
    <x v="0"/>
    <n v="2021"/>
    <n v="39"/>
    <x v="0"/>
    <s v="F"/>
    <x v="0"/>
    <x v="0"/>
    <x v="0"/>
    <x v="0"/>
    <x v="0"/>
    <n v="4"/>
    <n v="1252"/>
    <n v="2295"/>
    <n v="4172"/>
    <x v="0"/>
    <x v="0"/>
    <x v="0"/>
  </r>
  <r>
    <n v="261704"/>
    <d v="2021-12-05T00:00:00"/>
    <x v="5"/>
    <x v="0"/>
    <n v="2021"/>
    <n v="42"/>
    <x v="0"/>
    <s v="M"/>
    <x v="3"/>
    <x v="4"/>
    <x v="0"/>
    <x v="0"/>
    <x v="4"/>
    <n v="4"/>
    <n v="1252"/>
    <n v="2295"/>
    <n v="4172"/>
    <x v="0"/>
    <x v="0"/>
    <x v="0"/>
  </r>
  <r>
    <s v="000261705"/>
    <d v="2021-12-05T00:00:00"/>
    <x v="5"/>
    <x v="0"/>
    <n v="2021"/>
    <n v="35"/>
    <x v="0"/>
    <s v="F"/>
    <x v="1"/>
    <x v="5"/>
    <x v="0"/>
    <x v="0"/>
    <x v="6"/>
    <n v="1"/>
    <n v="1266"/>
    <n v="2320"/>
    <n v="1054"/>
    <x v="5"/>
    <x v="5"/>
    <x v="5"/>
  </r>
  <r>
    <s v="000261706"/>
    <d v="2021-12-05T00:00:00"/>
    <x v="5"/>
    <x v="0"/>
    <n v="2021"/>
    <n v="37"/>
    <x v="0"/>
    <s v="F"/>
    <x v="0"/>
    <x v="0"/>
    <x v="0"/>
    <x v="0"/>
    <x v="0"/>
    <n v="1"/>
    <n v="1252"/>
    <n v="2295"/>
    <n v="1043"/>
    <x v="1"/>
    <x v="1"/>
    <x v="1"/>
  </r>
  <r>
    <s v="000261707"/>
    <d v="2021-12-06T00:00:00"/>
    <x v="1"/>
    <x v="0"/>
    <n v="2021"/>
    <n v="23"/>
    <x v="2"/>
    <s v="M"/>
    <x v="2"/>
    <x v="2"/>
    <x v="0"/>
    <x v="0"/>
    <x v="2"/>
    <n v="3"/>
    <n v="420"/>
    <n v="769"/>
    <n v="1047"/>
    <x v="7"/>
    <x v="7"/>
    <x v="7"/>
  </r>
  <r>
    <s v="000261708"/>
    <d v="2021-12-06T00:00:00"/>
    <x v="1"/>
    <x v="0"/>
    <n v="2021"/>
    <n v="27"/>
    <x v="1"/>
    <s v="M"/>
    <x v="4"/>
    <x v="6"/>
    <x v="0"/>
    <x v="0"/>
    <x v="0"/>
    <n v="1"/>
    <n v="1252"/>
    <n v="2295"/>
    <n v="1043"/>
    <x v="1"/>
    <x v="1"/>
    <x v="1"/>
  </r>
  <r>
    <s v="000261719"/>
    <d v="2021-12-10T00:00:00"/>
    <x v="6"/>
    <x v="0"/>
    <n v="2021"/>
    <n v="34"/>
    <x v="1"/>
    <s v="F"/>
    <x v="0"/>
    <x v="0"/>
    <x v="0"/>
    <x v="0"/>
    <x v="1"/>
    <n v="2"/>
    <n v="1252"/>
    <n v="2295"/>
    <n v="2086"/>
    <x v="8"/>
    <x v="4"/>
    <x v="8"/>
  </r>
  <r>
    <s v="000261710"/>
    <d v="2021-12-06T00:00:00"/>
    <x v="1"/>
    <x v="0"/>
    <n v="2021"/>
    <n v="47"/>
    <x v="0"/>
    <s v="M"/>
    <x v="2"/>
    <x v="2"/>
    <x v="0"/>
    <x v="0"/>
    <x v="6"/>
    <n v="1"/>
    <n v="1266"/>
    <n v="2320"/>
    <n v="1054"/>
    <x v="5"/>
    <x v="5"/>
    <x v="5"/>
  </r>
  <r>
    <s v="000261711"/>
    <d v="2021-12-07T00:00:00"/>
    <x v="7"/>
    <x v="1"/>
    <n v="2021"/>
    <n v="30"/>
    <x v="1"/>
    <s v="M"/>
    <x v="0"/>
    <x v="0"/>
    <x v="0"/>
    <x v="0"/>
    <x v="7"/>
    <n v="4"/>
    <n v="420"/>
    <n v="769"/>
    <n v="1396"/>
    <x v="6"/>
    <x v="6"/>
    <x v="6"/>
  </r>
  <r>
    <s v="000261720"/>
    <d v="2021-12-10T00:00:00"/>
    <x v="6"/>
    <x v="0"/>
    <n v="2021"/>
    <n v="40"/>
    <x v="0"/>
    <s v="M"/>
    <x v="1"/>
    <x v="1"/>
    <x v="0"/>
    <x v="0"/>
    <x v="1"/>
    <n v="2"/>
    <n v="1252"/>
    <n v="2295"/>
    <n v="2086"/>
    <x v="8"/>
    <x v="4"/>
    <x v="8"/>
  </r>
  <r>
    <s v="000261713"/>
    <d v="2021-12-08T00:00:00"/>
    <x v="8"/>
    <x v="0"/>
    <n v="2021"/>
    <n v="19"/>
    <x v="2"/>
    <s v="F"/>
    <x v="1"/>
    <x v="1"/>
    <x v="0"/>
    <x v="0"/>
    <x v="8"/>
    <n v="4"/>
    <n v="308"/>
    <n v="565"/>
    <n v="1028"/>
    <x v="9"/>
    <x v="8"/>
    <x v="9"/>
  </r>
  <r>
    <s v="000261714"/>
    <d v="2021-12-08T00:00:00"/>
    <x v="8"/>
    <x v="0"/>
    <n v="2021"/>
    <n v="30"/>
    <x v="1"/>
    <s v="F"/>
    <x v="4"/>
    <x v="6"/>
    <x v="0"/>
    <x v="0"/>
    <x v="6"/>
    <n v="4"/>
    <n v="1266"/>
    <n v="2320"/>
    <n v="4216"/>
    <x v="10"/>
    <x v="9"/>
    <x v="10"/>
  </r>
  <r>
    <n v="261715"/>
    <d v="2021-12-08T00:00:00"/>
    <x v="8"/>
    <x v="0"/>
    <n v="2021"/>
    <n v="39"/>
    <x v="0"/>
    <s v="F"/>
    <x v="0"/>
    <x v="7"/>
    <x v="0"/>
    <x v="0"/>
    <x v="9"/>
    <n v="2"/>
    <n v="1252"/>
    <n v="2295"/>
    <n v="2086"/>
    <x v="8"/>
    <x v="4"/>
    <x v="8"/>
  </r>
  <r>
    <n v="261716"/>
    <d v="2021-12-08T00:00:00"/>
    <x v="8"/>
    <x v="0"/>
    <n v="2021"/>
    <n v="35"/>
    <x v="0"/>
    <s v="F"/>
    <x v="0"/>
    <x v="0"/>
    <x v="0"/>
    <x v="0"/>
    <x v="10"/>
    <n v="1"/>
    <n v="295"/>
    <n v="540"/>
    <n v="245"/>
    <x v="11"/>
    <x v="10"/>
    <x v="11"/>
  </r>
  <r>
    <s v="000261717"/>
    <d v="2021-12-09T00:00:00"/>
    <x v="9"/>
    <x v="0"/>
    <n v="2021"/>
    <n v="33"/>
    <x v="1"/>
    <s v="F"/>
    <x v="1"/>
    <x v="8"/>
    <x v="0"/>
    <x v="0"/>
    <x v="11"/>
    <n v="2"/>
    <n v="1898"/>
    <n v="3375"/>
    <n v="2954"/>
    <x v="12"/>
    <x v="11"/>
    <x v="12"/>
  </r>
  <r>
    <s v="000261753"/>
    <d v="2021-12-18T00:00:00"/>
    <x v="10"/>
    <x v="0"/>
    <n v="2021"/>
    <n v="39"/>
    <x v="0"/>
    <s v="M"/>
    <x v="0"/>
    <x v="0"/>
    <x v="0"/>
    <x v="0"/>
    <x v="1"/>
    <n v="3"/>
    <n v="1252"/>
    <n v="2295"/>
    <n v="3129"/>
    <x v="13"/>
    <x v="12"/>
    <x v="13"/>
  </r>
  <r>
    <s v="000261774"/>
    <d v="2021-12-22T00:00:00"/>
    <x v="11"/>
    <x v="0"/>
    <n v="2021"/>
    <n v="41"/>
    <x v="0"/>
    <s v="M"/>
    <x v="0"/>
    <x v="0"/>
    <x v="0"/>
    <x v="0"/>
    <x v="1"/>
    <n v="3"/>
    <n v="1252"/>
    <n v="2295"/>
    <n v="3129"/>
    <x v="13"/>
    <x v="12"/>
    <x v="13"/>
  </r>
  <r>
    <s v="000261780"/>
    <d v="2021-12-23T00:00:00"/>
    <x v="12"/>
    <x v="0"/>
    <n v="2021"/>
    <n v="31"/>
    <x v="1"/>
    <s v="F"/>
    <x v="4"/>
    <x v="6"/>
    <x v="0"/>
    <x v="0"/>
    <x v="1"/>
    <n v="1"/>
    <n v="1252"/>
    <n v="2295"/>
    <n v="1043"/>
    <x v="1"/>
    <x v="1"/>
    <x v="1"/>
  </r>
  <r>
    <s v="000261721"/>
    <d v="2021-12-10T00:00:00"/>
    <x v="6"/>
    <x v="0"/>
    <n v="2021"/>
    <n v="26"/>
    <x v="1"/>
    <s v="M"/>
    <x v="2"/>
    <x v="2"/>
    <x v="0"/>
    <x v="0"/>
    <x v="4"/>
    <n v="1"/>
    <n v="1252"/>
    <n v="2295"/>
    <n v="1043"/>
    <x v="1"/>
    <x v="1"/>
    <x v="1"/>
  </r>
  <r>
    <s v="000261722"/>
    <d v="2021-12-10T00:00:00"/>
    <x v="6"/>
    <x v="0"/>
    <n v="2021"/>
    <n v="34"/>
    <x v="1"/>
    <s v="M"/>
    <x v="0"/>
    <x v="0"/>
    <x v="0"/>
    <x v="0"/>
    <x v="12"/>
    <n v="1"/>
    <n v="295"/>
    <n v="540"/>
    <n v="245"/>
    <x v="11"/>
    <x v="10"/>
    <x v="11"/>
  </r>
  <r>
    <s v="000261723"/>
    <d v="2021-12-10T00:00:00"/>
    <x v="6"/>
    <x v="0"/>
    <n v="2021"/>
    <n v="34"/>
    <x v="1"/>
    <s v="F"/>
    <x v="0"/>
    <x v="3"/>
    <x v="0"/>
    <x v="0"/>
    <x v="13"/>
    <n v="1"/>
    <n v="1912"/>
    <n v="3400"/>
    <n v="1488"/>
    <x v="14"/>
    <x v="13"/>
    <x v="14"/>
  </r>
  <r>
    <s v="000261724"/>
    <d v="2021-12-10T00:00:00"/>
    <x v="6"/>
    <x v="0"/>
    <n v="2021"/>
    <n v="38"/>
    <x v="0"/>
    <s v="M"/>
    <x v="1"/>
    <x v="1"/>
    <x v="0"/>
    <x v="0"/>
    <x v="4"/>
    <n v="1"/>
    <n v="1252"/>
    <n v="2295"/>
    <n v="1043"/>
    <x v="1"/>
    <x v="1"/>
    <x v="1"/>
  </r>
  <r>
    <s v="000261725"/>
    <d v="2021-12-11T00:00:00"/>
    <x v="13"/>
    <x v="0"/>
    <n v="2021"/>
    <n v="24"/>
    <x v="2"/>
    <s v="F"/>
    <x v="5"/>
    <x v="9"/>
    <x v="0"/>
    <x v="0"/>
    <x v="4"/>
    <n v="3"/>
    <n v="1252"/>
    <n v="2295"/>
    <n v="3129"/>
    <x v="13"/>
    <x v="12"/>
    <x v="13"/>
  </r>
  <r>
    <s v="000261726"/>
    <d v="2021-12-11T00:00:00"/>
    <x v="13"/>
    <x v="0"/>
    <n v="2021"/>
    <n v="41"/>
    <x v="0"/>
    <s v="F"/>
    <x v="1"/>
    <x v="1"/>
    <x v="0"/>
    <x v="0"/>
    <x v="7"/>
    <n v="2"/>
    <n v="420"/>
    <n v="769"/>
    <n v="698"/>
    <x v="2"/>
    <x v="2"/>
    <x v="2"/>
  </r>
  <r>
    <s v="000261727"/>
    <d v="2021-12-11T00:00:00"/>
    <x v="13"/>
    <x v="0"/>
    <n v="2021"/>
    <n v="27"/>
    <x v="1"/>
    <s v="M"/>
    <x v="4"/>
    <x v="6"/>
    <x v="0"/>
    <x v="0"/>
    <x v="0"/>
    <n v="1"/>
    <n v="1252"/>
    <n v="2295"/>
    <n v="1043"/>
    <x v="1"/>
    <x v="1"/>
    <x v="1"/>
  </r>
  <r>
    <s v="000261728"/>
    <d v="2021-12-11T00:00:00"/>
    <x v="13"/>
    <x v="0"/>
    <n v="2021"/>
    <n v="37"/>
    <x v="0"/>
    <s v="M"/>
    <x v="0"/>
    <x v="0"/>
    <x v="0"/>
    <x v="0"/>
    <x v="2"/>
    <n v="1"/>
    <n v="420"/>
    <n v="769"/>
    <n v="349"/>
    <x v="3"/>
    <x v="3"/>
    <x v="3"/>
  </r>
  <r>
    <s v="000261729"/>
    <d v="2021-12-11T00:00:00"/>
    <x v="13"/>
    <x v="0"/>
    <n v="2021"/>
    <n v="38"/>
    <x v="0"/>
    <s v="F"/>
    <x v="0"/>
    <x v="0"/>
    <x v="0"/>
    <x v="0"/>
    <x v="6"/>
    <n v="1"/>
    <n v="1266"/>
    <n v="2320"/>
    <n v="1054"/>
    <x v="5"/>
    <x v="5"/>
    <x v="5"/>
  </r>
  <r>
    <s v="000261782"/>
    <d v="2021-12-24T00:00:00"/>
    <x v="14"/>
    <x v="0"/>
    <n v="2021"/>
    <n v="38"/>
    <x v="0"/>
    <s v="M"/>
    <x v="1"/>
    <x v="5"/>
    <x v="0"/>
    <x v="0"/>
    <x v="1"/>
    <n v="4"/>
    <n v="1252"/>
    <n v="2295"/>
    <n v="4172"/>
    <x v="0"/>
    <x v="0"/>
    <x v="0"/>
  </r>
  <r>
    <s v="000261731"/>
    <d v="2021-12-12T00:00:00"/>
    <x v="15"/>
    <x v="0"/>
    <n v="2021"/>
    <n v="37"/>
    <x v="0"/>
    <s v="M"/>
    <x v="0"/>
    <x v="0"/>
    <x v="0"/>
    <x v="0"/>
    <x v="2"/>
    <n v="4"/>
    <n v="420"/>
    <n v="769"/>
    <n v="1396"/>
    <x v="6"/>
    <x v="6"/>
    <x v="6"/>
  </r>
  <r>
    <s v="000261732"/>
    <d v="2021-12-12T00:00:00"/>
    <x v="15"/>
    <x v="0"/>
    <n v="2021"/>
    <n v="34"/>
    <x v="1"/>
    <s v="M"/>
    <x v="1"/>
    <x v="1"/>
    <x v="0"/>
    <x v="0"/>
    <x v="4"/>
    <n v="2"/>
    <n v="1252"/>
    <n v="2295"/>
    <n v="2086"/>
    <x v="8"/>
    <x v="4"/>
    <x v="8"/>
  </r>
  <r>
    <s v="000261701"/>
    <d v="2021-12-03T00:00:00"/>
    <x v="3"/>
    <x v="0"/>
    <n v="2021"/>
    <n v="37"/>
    <x v="0"/>
    <s v="M"/>
    <x v="0"/>
    <x v="3"/>
    <x v="0"/>
    <x v="0"/>
    <x v="0"/>
    <n v="1"/>
    <n v="1252"/>
    <n v="2295"/>
    <n v="1043"/>
    <x v="1"/>
    <x v="1"/>
    <x v="1"/>
  </r>
  <r>
    <s v="000261712"/>
    <d v="2021-12-07T00:00:00"/>
    <x v="7"/>
    <x v="0"/>
    <n v="2021"/>
    <n v="38"/>
    <x v="0"/>
    <s v="M"/>
    <x v="0"/>
    <x v="0"/>
    <x v="0"/>
    <x v="0"/>
    <x v="5"/>
    <n v="2"/>
    <n v="1266"/>
    <n v="2320"/>
    <n v="2108"/>
    <x v="15"/>
    <x v="14"/>
    <x v="15"/>
  </r>
  <r>
    <s v="000261718"/>
    <d v="2021-12-09T00:00:00"/>
    <x v="9"/>
    <x v="0"/>
    <n v="2021"/>
    <n v="41"/>
    <x v="0"/>
    <s v="F"/>
    <x v="3"/>
    <x v="10"/>
    <x v="0"/>
    <x v="0"/>
    <x v="5"/>
    <n v="1"/>
    <n v="1266"/>
    <n v="2320"/>
    <n v="1054"/>
    <x v="5"/>
    <x v="5"/>
    <x v="5"/>
  </r>
  <r>
    <s v="000261736"/>
    <d v="2021-12-13T00:00:00"/>
    <x v="16"/>
    <x v="0"/>
    <n v="2021"/>
    <n v="40"/>
    <x v="0"/>
    <s v="F"/>
    <x v="0"/>
    <x v="0"/>
    <x v="0"/>
    <x v="0"/>
    <x v="14"/>
    <n v="1"/>
    <n v="308"/>
    <n v="565"/>
    <n v="257"/>
    <x v="16"/>
    <x v="15"/>
    <x v="16"/>
  </r>
  <r>
    <s v="000261737"/>
    <d v="2021-12-13T00:00:00"/>
    <x v="16"/>
    <x v="0"/>
    <n v="2021"/>
    <n v="44"/>
    <x v="0"/>
    <s v="F"/>
    <x v="2"/>
    <x v="2"/>
    <x v="0"/>
    <x v="0"/>
    <x v="4"/>
    <n v="1"/>
    <n v="1252"/>
    <n v="2295"/>
    <n v="1043"/>
    <x v="1"/>
    <x v="1"/>
    <x v="1"/>
  </r>
  <r>
    <s v="000261738"/>
    <d v="2021-12-13T00:00:00"/>
    <x v="16"/>
    <x v="0"/>
    <n v="2021"/>
    <n v="49"/>
    <x v="0"/>
    <s v="M"/>
    <x v="2"/>
    <x v="2"/>
    <x v="0"/>
    <x v="0"/>
    <x v="4"/>
    <n v="1"/>
    <n v="1252"/>
    <n v="2295"/>
    <n v="1043"/>
    <x v="1"/>
    <x v="1"/>
    <x v="1"/>
  </r>
  <r>
    <s v="000261739"/>
    <d v="2021-12-14T00:00:00"/>
    <x v="17"/>
    <x v="0"/>
    <n v="2021"/>
    <n v="30"/>
    <x v="1"/>
    <s v="F"/>
    <x v="0"/>
    <x v="3"/>
    <x v="0"/>
    <x v="0"/>
    <x v="6"/>
    <n v="2"/>
    <n v="1266"/>
    <n v="2320"/>
    <n v="2108"/>
    <x v="15"/>
    <x v="14"/>
    <x v="15"/>
  </r>
  <r>
    <s v="000261740"/>
    <d v="2021-12-14T00:00:00"/>
    <x v="17"/>
    <x v="0"/>
    <n v="2021"/>
    <n v="32"/>
    <x v="1"/>
    <s v="M"/>
    <x v="0"/>
    <x v="0"/>
    <x v="0"/>
    <x v="0"/>
    <x v="0"/>
    <n v="1"/>
    <n v="1252"/>
    <n v="2295"/>
    <n v="1043"/>
    <x v="1"/>
    <x v="1"/>
    <x v="1"/>
  </r>
  <r>
    <s v="000261741"/>
    <d v="2021-12-14T00:00:00"/>
    <x v="17"/>
    <x v="0"/>
    <n v="2021"/>
    <n v="32"/>
    <x v="1"/>
    <s v="F"/>
    <x v="1"/>
    <x v="8"/>
    <x v="0"/>
    <x v="0"/>
    <x v="2"/>
    <n v="1"/>
    <n v="420"/>
    <n v="769"/>
    <n v="349"/>
    <x v="3"/>
    <x v="3"/>
    <x v="3"/>
  </r>
  <r>
    <s v="000261730"/>
    <d v="2021-12-12T00:00:00"/>
    <x v="15"/>
    <x v="0"/>
    <n v="2021"/>
    <n v="36"/>
    <x v="0"/>
    <s v="F"/>
    <x v="1"/>
    <x v="1"/>
    <x v="0"/>
    <x v="0"/>
    <x v="5"/>
    <n v="4"/>
    <n v="1266"/>
    <n v="2320"/>
    <n v="4216"/>
    <x v="10"/>
    <x v="9"/>
    <x v="10"/>
  </r>
  <r>
    <s v="000261743"/>
    <d v="2021-12-16T00:00:00"/>
    <x v="18"/>
    <x v="0"/>
    <n v="2021"/>
    <n v="33"/>
    <x v="1"/>
    <s v="F"/>
    <x v="1"/>
    <x v="1"/>
    <x v="0"/>
    <x v="0"/>
    <x v="4"/>
    <n v="2"/>
    <n v="1252"/>
    <n v="2295"/>
    <n v="2086"/>
    <x v="8"/>
    <x v="4"/>
    <x v="8"/>
  </r>
  <r>
    <s v="000261744"/>
    <d v="2021-12-16T00:00:00"/>
    <x v="18"/>
    <x v="0"/>
    <n v="2021"/>
    <n v="38"/>
    <x v="0"/>
    <s v="M"/>
    <x v="1"/>
    <x v="1"/>
    <x v="0"/>
    <x v="0"/>
    <x v="4"/>
    <n v="2"/>
    <n v="1252"/>
    <n v="2295"/>
    <n v="2086"/>
    <x v="8"/>
    <x v="4"/>
    <x v="8"/>
  </r>
  <r>
    <s v="000261745"/>
    <d v="2021-12-16T00:00:00"/>
    <x v="18"/>
    <x v="0"/>
    <n v="2021"/>
    <n v="27"/>
    <x v="1"/>
    <s v="F"/>
    <x v="5"/>
    <x v="11"/>
    <x v="0"/>
    <x v="0"/>
    <x v="15"/>
    <n v="1"/>
    <n v="1266"/>
    <n v="2320"/>
    <n v="1054"/>
    <x v="5"/>
    <x v="5"/>
    <x v="5"/>
  </r>
  <r>
    <s v="000261746"/>
    <d v="2021-12-17T00:00:00"/>
    <x v="19"/>
    <x v="0"/>
    <n v="2021"/>
    <n v="37"/>
    <x v="0"/>
    <s v="F"/>
    <x v="0"/>
    <x v="3"/>
    <x v="0"/>
    <x v="0"/>
    <x v="6"/>
    <n v="2"/>
    <n v="1266"/>
    <n v="2320"/>
    <n v="2108"/>
    <x v="15"/>
    <x v="14"/>
    <x v="15"/>
  </r>
  <r>
    <s v="000261747"/>
    <d v="2021-12-17T00:00:00"/>
    <x v="19"/>
    <x v="0"/>
    <n v="2021"/>
    <n v="31"/>
    <x v="1"/>
    <s v="M"/>
    <x v="1"/>
    <x v="1"/>
    <x v="0"/>
    <x v="0"/>
    <x v="3"/>
    <n v="1"/>
    <n v="420"/>
    <n v="769"/>
    <n v="349"/>
    <x v="3"/>
    <x v="3"/>
    <x v="3"/>
  </r>
  <r>
    <s v="000261748"/>
    <d v="2021-12-17T00:00:00"/>
    <x v="19"/>
    <x v="0"/>
    <n v="2021"/>
    <n v="42"/>
    <x v="0"/>
    <s v="F"/>
    <x v="3"/>
    <x v="4"/>
    <x v="0"/>
    <x v="0"/>
    <x v="15"/>
    <n v="1"/>
    <n v="1266"/>
    <n v="2320"/>
    <n v="1054"/>
    <x v="5"/>
    <x v="5"/>
    <x v="5"/>
  </r>
  <r>
    <s v="000261749"/>
    <d v="2021-12-18T00:00:00"/>
    <x v="10"/>
    <x v="0"/>
    <n v="2021"/>
    <n v="35"/>
    <x v="0"/>
    <s v="F"/>
    <x v="1"/>
    <x v="1"/>
    <x v="0"/>
    <x v="0"/>
    <x v="8"/>
    <n v="4"/>
    <n v="308"/>
    <n v="565"/>
    <n v="1028"/>
    <x v="9"/>
    <x v="8"/>
    <x v="9"/>
  </r>
  <r>
    <s v="000261750"/>
    <d v="2021-12-18T00:00:00"/>
    <x v="10"/>
    <x v="0"/>
    <n v="2021"/>
    <n v="38"/>
    <x v="0"/>
    <s v="F"/>
    <x v="3"/>
    <x v="4"/>
    <x v="0"/>
    <x v="0"/>
    <x v="15"/>
    <n v="4"/>
    <n v="1266"/>
    <n v="2320"/>
    <n v="4216"/>
    <x v="10"/>
    <x v="9"/>
    <x v="10"/>
  </r>
  <r>
    <s v="000261751"/>
    <d v="2021-12-18T00:00:00"/>
    <x v="10"/>
    <x v="0"/>
    <n v="2021"/>
    <n v="24"/>
    <x v="2"/>
    <s v="F"/>
    <x v="5"/>
    <x v="12"/>
    <x v="0"/>
    <x v="0"/>
    <x v="6"/>
    <n v="3"/>
    <n v="1266"/>
    <n v="2320"/>
    <n v="3162"/>
    <x v="17"/>
    <x v="16"/>
    <x v="17"/>
  </r>
  <r>
    <s v="000261752"/>
    <d v="2021-12-18T00:00:00"/>
    <x v="10"/>
    <x v="0"/>
    <n v="2021"/>
    <n v="26"/>
    <x v="1"/>
    <s v="F"/>
    <x v="2"/>
    <x v="2"/>
    <x v="0"/>
    <x v="0"/>
    <x v="3"/>
    <n v="3"/>
    <n v="420"/>
    <n v="769"/>
    <n v="1047"/>
    <x v="7"/>
    <x v="7"/>
    <x v="7"/>
  </r>
  <r>
    <s v="000261733"/>
    <d v="2021-12-12T00:00:00"/>
    <x v="15"/>
    <x v="0"/>
    <n v="2021"/>
    <n v="35"/>
    <x v="0"/>
    <s v="F"/>
    <x v="1"/>
    <x v="8"/>
    <x v="0"/>
    <x v="0"/>
    <x v="5"/>
    <n v="1"/>
    <n v="1266"/>
    <n v="2320"/>
    <n v="1054"/>
    <x v="5"/>
    <x v="5"/>
    <x v="5"/>
  </r>
  <r>
    <s v="000261754"/>
    <d v="2021-12-18T00:00:00"/>
    <x v="10"/>
    <x v="0"/>
    <n v="2021"/>
    <n v="26"/>
    <x v="1"/>
    <s v="M"/>
    <x v="5"/>
    <x v="9"/>
    <x v="0"/>
    <x v="0"/>
    <x v="0"/>
    <n v="1"/>
    <n v="1252"/>
    <n v="2295"/>
    <n v="1043"/>
    <x v="1"/>
    <x v="1"/>
    <x v="1"/>
  </r>
  <r>
    <s v="000261755"/>
    <d v="2021-12-18T00:00:00"/>
    <x v="10"/>
    <x v="0"/>
    <n v="2021"/>
    <n v="36"/>
    <x v="0"/>
    <s v="M"/>
    <x v="0"/>
    <x v="3"/>
    <x v="0"/>
    <x v="0"/>
    <x v="6"/>
    <n v="1"/>
    <n v="1266"/>
    <n v="2320"/>
    <n v="1054"/>
    <x v="5"/>
    <x v="5"/>
    <x v="5"/>
  </r>
  <r>
    <s v="000261756"/>
    <d v="2021-12-19T00:00:00"/>
    <x v="20"/>
    <x v="0"/>
    <n v="2021"/>
    <n v="17"/>
    <x v="2"/>
    <s v="M"/>
    <x v="5"/>
    <x v="13"/>
    <x v="0"/>
    <x v="0"/>
    <x v="15"/>
    <n v="4"/>
    <n v="1266"/>
    <n v="2320"/>
    <n v="4216"/>
    <x v="10"/>
    <x v="9"/>
    <x v="10"/>
  </r>
  <r>
    <s v="000261757"/>
    <d v="2021-12-19T00:00:00"/>
    <x v="20"/>
    <x v="0"/>
    <n v="2021"/>
    <n v="19"/>
    <x v="2"/>
    <s v="F"/>
    <x v="1"/>
    <x v="8"/>
    <x v="0"/>
    <x v="0"/>
    <x v="16"/>
    <n v="4"/>
    <n v="295"/>
    <n v="540"/>
    <n v="980"/>
    <x v="18"/>
    <x v="17"/>
    <x v="18"/>
  </r>
  <r>
    <s v="000261758"/>
    <d v="2021-12-19T00:00:00"/>
    <x v="20"/>
    <x v="0"/>
    <n v="2021"/>
    <n v="25"/>
    <x v="1"/>
    <s v="M"/>
    <x v="5"/>
    <x v="9"/>
    <x v="0"/>
    <x v="0"/>
    <x v="4"/>
    <n v="4"/>
    <n v="1252"/>
    <n v="2295"/>
    <n v="4172"/>
    <x v="0"/>
    <x v="0"/>
    <x v="0"/>
  </r>
  <r>
    <s v="000261759"/>
    <d v="2021-12-19T00:00:00"/>
    <x v="20"/>
    <x v="0"/>
    <n v="2021"/>
    <n v="35"/>
    <x v="0"/>
    <s v="F"/>
    <x v="0"/>
    <x v="7"/>
    <x v="0"/>
    <x v="0"/>
    <x v="17"/>
    <n v="4"/>
    <n v="1898"/>
    <n v="3375"/>
    <n v="5908"/>
    <x v="19"/>
    <x v="18"/>
    <x v="19"/>
  </r>
  <r>
    <s v="000261760"/>
    <d v="2021-12-19T00:00:00"/>
    <x v="20"/>
    <x v="0"/>
    <n v="2021"/>
    <n v="37"/>
    <x v="0"/>
    <s v="M"/>
    <x v="0"/>
    <x v="7"/>
    <x v="0"/>
    <x v="0"/>
    <x v="4"/>
    <n v="4"/>
    <n v="1252"/>
    <n v="2295"/>
    <n v="4172"/>
    <x v="0"/>
    <x v="0"/>
    <x v="0"/>
  </r>
  <r>
    <s v="000261761"/>
    <d v="2021-12-19T00:00:00"/>
    <x v="20"/>
    <x v="0"/>
    <n v="2021"/>
    <n v="39"/>
    <x v="0"/>
    <s v="F"/>
    <x v="0"/>
    <x v="0"/>
    <x v="0"/>
    <x v="0"/>
    <x v="0"/>
    <n v="4"/>
    <n v="1252"/>
    <n v="2295"/>
    <n v="4172"/>
    <x v="0"/>
    <x v="0"/>
    <x v="0"/>
  </r>
  <r>
    <s v="000261762"/>
    <d v="2021-12-19T00:00:00"/>
    <x v="20"/>
    <x v="0"/>
    <n v="2021"/>
    <n v="63"/>
    <x v="0"/>
    <s v="F"/>
    <x v="1"/>
    <x v="5"/>
    <x v="0"/>
    <x v="0"/>
    <x v="0"/>
    <n v="4"/>
    <n v="1252"/>
    <n v="2295"/>
    <n v="4172"/>
    <x v="0"/>
    <x v="0"/>
    <x v="0"/>
  </r>
  <r>
    <s v="000261763"/>
    <d v="2021-12-19T00:00:00"/>
    <x v="20"/>
    <x v="0"/>
    <n v="2021"/>
    <n v="18"/>
    <x v="2"/>
    <s v="M"/>
    <x v="1"/>
    <x v="14"/>
    <x v="0"/>
    <x v="0"/>
    <x v="12"/>
    <n v="2"/>
    <n v="295"/>
    <n v="540"/>
    <n v="490"/>
    <x v="20"/>
    <x v="19"/>
    <x v="20"/>
  </r>
  <r>
    <s v="000261764"/>
    <d v="2021-12-19T00:00:00"/>
    <x v="20"/>
    <x v="0"/>
    <n v="2021"/>
    <n v="56"/>
    <x v="0"/>
    <s v="F"/>
    <x v="3"/>
    <x v="15"/>
    <x v="0"/>
    <x v="0"/>
    <x v="0"/>
    <n v="2"/>
    <n v="1252"/>
    <n v="2295"/>
    <n v="2086"/>
    <x v="8"/>
    <x v="4"/>
    <x v="8"/>
  </r>
  <r>
    <s v="000261765"/>
    <d v="2021-12-19T00:00:00"/>
    <x v="20"/>
    <x v="0"/>
    <n v="2021"/>
    <n v="39"/>
    <x v="0"/>
    <s v="F"/>
    <x v="0"/>
    <x v="3"/>
    <x v="0"/>
    <x v="0"/>
    <x v="6"/>
    <n v="1"/>
    <n v="1266"/>
    <n v="2320"/>
    <n v="1054"/>
    <x v="5"/>
    <x v="5"/>
    <x v="5"/>
  </r>
  <r>
    <s v="000261766"/>
    <d v="2021-12-20T00:00:00"/>
    <x v="21"/>
    <x v="0"/>
    <n v="2021"/>
    <n v="33"/>
    <x v="1"/>
    <s v="F"/>
    <x v="1"/>
    <x v="8"/>
    <x v="0"/>
    <x v="0"/>
    <x v="11"/>
    <n v="4"/>
    <n v="1898"/>
    <n v="3375"/>
    <n v="5908"/>
    <x v="19"/>
    <x v="18"/>
    <x v="19"/>
  </r>
  <r>
    <s v="000261767"/>
    <d v="2021-12-20T00:00:00"/>
    <x v="21"/>
    <x v="0"/>
    <n v="2021"/>
    <n v="57"/>
    <x v="0"/>
    <s v="M"/>
    <x v="1"/>
    <x v="5"/>
    <x v="0"/>
    <x v="0"/>
    <x v="0"/>
    <n v="4"/>
    <n v="1252"/>
    <n v="2295"/>
    <n v="4172"/>
    <x v="0"/>
    <x v="0"/>
    <x v="0"/>
  </r>
  <r>
    <s v="000261768"/>
    <d v="2021-12-20T00:00:00"/>
    <x v="21"/>
    <x v="0"/>
    <n v="2021"/>
    <n v="29"/>
    <x v="1"/>
    <s v="M"/>
    <x v="4"/>
    <x v="6"/>
    <x v="0"/>
    <x v="0"/>
    <x v="18"/>
    <n v="3"/>
    <n v="295"/>
    <n v="540"/>
    <n v="735"/>
    <x v="21"/>
    <x v="20"/>
    <x v="21"/>
  </r>
  <r>
    <s v="000261769"/>
    <d v="2021-12-20T00:00:00"/>
    <x v="21"/>
    <x v="0"/>
    <n v="2021"/>
    <n v="35"/>
    <x v="0"/>
    <s v="F"/>
    <x v="1"/>
    <x v="5"/>
    <x v="0"/>
    <x v="0"/>
    <x v="6"/>
    <n v="1"/>
    <n v="1266"/>
    <n v="2320"/>
    <n v="1054"/>
    <x v="5"/>
    <x v="5"/>
    <x v="5"/>
  </r>
  <r>
    <s v="000261770"/>
    <d v="2021-12-20T00:00:00"/>
    <x v="21"/>
    <x v="0"/>
    <n v="2021"/>
    <n v="35"/>
    <x v="0"/>
    <s v="M"/>
    <x v="1"/>
    <x v="8"/>
    <x v="0"/>
    <x v="0"/>
    <x v="6"/>
    <n v="1"/>
    <n v="1266"/>
    <n v="2320"/>
    <n v="1054"/>
    <x v="5"/>
    <x v="5"/>
    <x v="5"/>
  </r>
  <r>
    <s v="000261771"/>
    <d v="2021-12-21T00:00:00"/>
    <x v="22"/>
    <x v="0"/>
    <n v="2021"/>
    <n v="26"/>
    <x v="1"/>
    <s v="M"/>
    <x v="5"/>
    <x v="16"/>
    <x v="0"/>
    <x v="0"/>
    <x v="6"/>
    <n v="3"/>
    <n v="1266"/>
    <n v="2320"/>
    <n v="3162"/>
    <x v="17"/>
    <x v="16"/>
    <x v="17"/>
  </r>
  <r>
    <s v="000261772"/>
    <d v="2021-12-21T00:00:00"/>
    <x v="22"/>
    <x v="0"/>
    <n v="2021"/>
    <n v="23"/>
    <x v="2"/>
    <s v="M"/>
    <x v="2"/>
    <x v="2"/>
    <x v="0"/>
    <x v="0"/>
    <x v="2"/>
    <n v="2"/>
    <n v="420"/>
    <n v="769"/>
    <n v="698"/>
    <x v="2"/>
    <x v="2"/>
    <x v="2"/>
  </r>
  <r>
    <s v="000261773"/>
    <d v="2021-12-22T00:00:00"/>
    <x v="11"/>
    <x v="0"/>
    <n v="2021"/>
    <n v="30"/>
    <x v="1"/>
    <s v="F"/>
    <x v="0"/>
    <x v="3"/>
    <x v="0"/>
    <x v="0"/>
    <x v="6"/>
    <n v="3"/>
    <n v="1266"/>
    <n v="2320"/>
    <n v="3162"/>
    <x v="17"/>
    <x v="16"/>
    <x v="17"/>
  </r>
  <r>
    <s v="000261734"/>
    <d v="2021-12-12T00:00:00"/>
    <x v="15"/>
    <x v="0"/>
    <n v="2021"/>
    <n v="38"/>
    <x v="0"/>
    <s v="F"/>
    <x v="0"/>
    <x v="3"/>
    <x v="0"/>
    <x v="0"/>
    <x v="5"/>
    <n v="1"/>
    <n v="1266"/>
    <n v="2320"/>
    <n v="1054"/>
    <x v="5"/>
    <x v="5"/>
    <x v="5"/>
  </r>
  <r>
    <s v="000261775"/>
    <d v="2021-12-22T00:00:00"/>
    <x v="11"/>
    <x v="0"/>
    <n v="2021"/>
    <n v="19"/>
    <x v="2"/>
    <s v="F"/>
    <x v="1"/>
    <x v="1"/>
    <x v="0"/>
    <x v="0"/>
    <x v="8"/>
    <n v="1"/>
    <n v="308"/>
    <n v="565"/>
    <n v="257"/>
    <x v="16"/>
    <x v="15"/>
    <x v="16"/>
  </r>
  <r>
    <s v="000261776"/>
    <d v="2021-12-22T00:00:00"/>
    <x v="11"/>
    <x v="0"/>
    <n v="2021"/>
    <n v="25"/>
    <x v="1"/>
    <s v="M"/>
    <x v="5"/>
    <x v="9"/>
    <x v="0"/>
    <x v="0"/>
    <x v="4"/>
    <n v="1"/>
    <n v="1252"/>
    <n v="2295"/>
    <n v="1043"/>
    <x v="1"/>
    <x v="1"/>
    <x v="1"/>
  </r>
  <r>
    <s v="000261777"/>
    <d v="2021-12-22T00:00:00"/>
    <x v="11"/>
    <x v="0"/>
    <n v="2021"/>
    <n v="27"/>
    <x v="1"/>
    <s v="F"/>
    <x v="4"/>
    <x v="6"/>
    <x v="0"/>
    <x v="0"/>
    <x v="0"/>
    <n v="1"/>
    <n v="1252"/>
    <n v="2295"/>
    <n v="1043"/>
    <x v="1"/>
    <x v="1"/>
    <x v="1"/>
  </r>
  <r>
    <s v="000261778"/>
    <d v="2021-12-22T00:00:00"/>
    <x v="11"/>
    <x v="0"/>
    <n v="2021"/>
    <n v="41"/>
    <x v="0"/>
    <s v="M"/>
    <x v="3"/>
    <x v="15"/>
    <x v="0"/>
    <x v="0"/>
    <x v="6"/>
    <n v="1"/>
    <n v="1266"/>
    <n v="2320"/>
    <n v="1054"/>
    <x v="5"/>
    <x v="5"/>
    <x v="5"/>
  </r>
  <r>
    <s v="000261735"/>
    <d v="2021-12-13T00:00:00"/>
    <x v="16"/>
    <x v="0"/>
    <n v="2021"/>
    <n v="32"/>
    <x v="1"/>
    <s v="F"/>
    <x v="1"/>
    <x v="5"/>
    <x v="0"/>
    <x v="0"/>
    <x v="5"/>
    <n v="3"/>
    <n v="1266"/>
    <n v="2320"/>
    <n v="3162"/>
    <x v="17"/>
    <x v="16"/>
    <x v="17"/>
  </r>
  <r>
    <s v="000261742"/>
    <d v="2021-12-15T00:00:00"/>
    <x v="23"/>
    <x v="0"/>
    <n v="2021"/>
    <n v="29"/>
    <x v="1"/>
    <s v="F"/>
    <x v="0"/>
    <x v="0"/>
    <x v="0"/>
    <x v="0"/>
    <x v="5"/>
    <n v="1"/>
    <n v="1266"/>
    <n v="2320"/>
    <n v="1054"/>
    <x v="5"/>
    <x v="5"/>
    <x v="5"/>
  </r>
  <r>
    <s v="000261781"/>
    <d v="2021-12-23T00:00:00"/>
    <x v="12"/>
    <x v="0"/>
    <n v="2021"/>
    <n v="35"/>
    <x v="0"/>
    <s v="F"/>
    <x v="0"/>
    <x v="0"/>
    <x v="0"/>
    <x v="0"/>
    <x v="10"/>
    <n v="1"/>
    <n v="295"/>
    <n v="540"/>
    <n v="245"/>
    <x v="11"/>
    <x v="10"/>
    <x v="11"/>
  </r>
  <r>
    <s v="000261779"/>
    <d v="2021-12-23T00:00:00"/>
    <x v="12"/>
    <x v="0"/>
    <n v="2021"/>
    <n v="30"/>
    <x v="1"/>
    <s v="F"/>
    <x v="0"/>
    <x v="7"/>
    <x v="0"/>
    <x v="0"/>
    <x v="5"/>
    <n v="1"/>
    <n v="1266"/>
    <n v="2320"/>
    <n v="1054"/>
    <x v="5"/>
    <x v="5"/>
    <x v="5"/>
  </r>
  <r>
    <m/>
    <m/>
    <x v="24"/>
    <x v="2"/>
    <m/>
    <m/>
    <x v="3"/>
    <m/>
    <x v="6"/>
    <x v="17"/>
    <x v="1"/>
    <x v="1"/>
    <x v="19"/>
    <m/>
    <m/>
    <m/>
    <m/>
    <x v="22"/>
    <x v="21"/>
    <x v="22"/>
  </r>
  <r>
    <m/>
    <m/>
    <x v="24"/>
    <x v="2"/>
    <m/>
    <m/>
    <x v="3"/>
    <m/>
    <x v="6"/>
    <x v="17"/>
    <x v="1"/>
    <x v="1"/>
    <x v="19"/>
    <m/>
    <m/>
    <m/>
    <m/>
    <x v="22"/>
    <x v="21"/>
    <x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000261695"/>
    <d v="2021-12-01T00:00:00"/>
    <n v="1"/>
    <s v="December"/>
    <n v="2021"/>
    <n v="39"/>
    <x v="0"/>
    <x v="0"/>
    <s v="United States"/>
    <s v="California"/>
    <x v="0"/>
    <s v="Mountain Bikes"/>
    <x v="0"/>
    <n v="4"/>
    <n v="1252"/>
    <n v="2295"/>
    <n v="4172"/>
    <x v="0"/>
    <x v="0"/>
    <x v="0"/>
    <x v="0"/>
  </r>
  <r>
    <n v="261709"/>
    <d v="2021-12-06T00:00:00"/>
    <n v="6"/>
    <s v="December"/>
    <n v="2021"/>
    <n v="36"/>
    <x v="0"/>
    <x v="1"/>
    <s v="Australia"/>
    <s v="New South Wales"/>
    <x v="0"/>
    <s v="Mountain Bikes"/>
    <x v="1"/>
    <n v="1"/>
    <n v="1252"/>
    <n v="2295"/>
    <n v="1043"/>
    <x v="1"/>
    <x v="1"/>
    <x v="1"/>
    <x v="1"/>
  </r>
  <r>
    <s v="000261697"/>
    <d v="2021-12-02T00:00:00"/>
    <n v="2"/>
    <s v="December"/>
    <n v="2021"/>
    <n v="37"/>
    <x v="0"/>
    <x v="1"/>
    <s v="United States"/>
    <s v="California"/>
    <x v="0"/>
    <s v="Mountain Bikes"/>
    <x v="2"/>
    <n v="2"/>
    <n v="420"/>
    <n v="769"/>
    <n v="698"/>
    <x v="2"/>
    <x v="2"/>
    <x v="2"/>
    <x v="2"/>
  </r>
  <r>
    <s v="000261698"/>
    <d v="2021-12-02T00:00:00"/>
    <n v="2"/>
    <s v="December"/>
    <n v="2021"/>
    <n v="31"/>
    <x v="1"/>
    <x v="0"/>
    <s v="Australia"/>
    <s v="New South Wales"/>
    <x v="0"/>
    <s v="Mountain Bikes"/>
    <x v="3"/>
    <n v="1"/>
    <n v="420"/>
    <n v="769"/>
    <n v="349"/>
    <x v="3"/>
    <x v="3"/>
    <x v="3"/>
    <x v="3"/>
  </r>
  <r>
    <s v="000261699"/>
    <d v="2021-12-03T00:00:00"/>
    <n v="3"/>
    <s v="December"/>
    <n v="2021"/>
    <n v="37"/>
    <x v="0"/>
    <x v="0"/>
    <s v="United States"/>
    <s v="California"/>
    <x v="0"/>
    <s v="Mountain Bikes"/>
    <x v="0"/>
    <n v="2"/>
    <n v="0"/>
    <n v="2295"/>
    <n v="2086"/>
    <x v="4"/>
    <x v="4"/>
    <x v="4"/>
    <x v="4"/>
  </r>
  <r>
    <s v="000261700"/>
    <d v="2021-12-03T00:00:00"/>
    <n v="3"/>
    <s v="December"/>
    <n v="2021"/>
    <n v="24"/>
    <x v="2"/>
    <x v="0"/>
    <s v="United Kingdom"/>
    <s v="England"/>
    <x v="0"/>
    <s v="Mountain Bikes"/>
    <x v="4"/>
    <n v="1"/>
    <n v="1252"/>
    <n v="2295"/>
    <n v="1043"/>
    <x v="1"/>
    <x v="1"/>
    <x v="1"/>
    <x v="1"/>
  </r>
  <r>
    <s v="000261695"/>
    <d v="2021-12-01T00:00:00"/>
    <n v="1"/>
    <s v="December"/>
    <n v="2021"/>
    <n v="44"/>
    <x v="0"/>
    <x v="1"/>
    <s v="United Kingdom"/>
    <s v="England"/>
    <x v="0"/>
    <s v="Mountain Bikes"/>
    <x v="5"/>
    <n v="1"/>
    <n v="1266"/>
    <n v="2320"/>
    <n v="1054"/>
    <x v="5"/>
    <x v="5"/>
    <x v="5"/>
    <x v="5"/>
  </r>
  <r>
    <s v="000261701"/>
    <d v="2021-12-03T00:00:00"/>
    <n v="3"/>
    <s v="December"/>
    <n v="2021"/>
    <n v="37"/>
    <x v="0"/>
    <x v="1"/>
    <s v="United States"/>
    <s v="Washington"/>
    <x v="0"/>
    <s v="Mountain Bikes"/>
    <x v="0"/>
    <n v="1"/>
    <n v="1252"/>
    <n v="2295"/>
    <n v="1043"/>
    <x v="1"/>
    <x v="1"/>
    <x v="1"/>
    <x v="1"/>
  </r>
  <r>
    <s v="000261702"/>
    <d v="2021-12-04T00:00:00"/>
    <n v="4"/>
    <s v="December"/>
    <n v="2021"/>
    <n v="31"/>
    <x v="1"/>
    <x v="0"/>
    <s v="Australia"/>
    <s v="New South Wales"/>
    <x v="0"/>
    <s v="Mountain Bikes"/>
    <x v="3"/>
    <n v="4"/>
    <n v="420"/>
    <n v="769"/>
    <n v="1396"/>
    <x v="6"/>
    <x v="6"/>
    <x v="6"/>
    <x v="6"/>
  </r>
  <r>
    <s v="000261703"/>
    <d v="2021-12-05T00:00:00"/>
    <n v="5"/>
    <s v="December"/>
    <n v="2021"/>
    <n v="39"/>
    <x v="0"/>
    <x v="0"/>
    <s v="United States"/>
    <s v="California"/>
    <x v="0"/>
    <s v="Mountain Bikes"/>
    <x v="0"/>
    <n v="4"/>
    <n v="1252"/>
    <n v="2295"/>
    <n v="4172"/>
    <x v="0"/>
    <x v="0"/>
    <x v="0"/>
    <x v="0"/>
  </r>
  <r>
    <n v="261704"/>
    <d v="2021-12-05T00:00:00"/>
    <n v="5"/>
    <s v="December"/>
    <n v="2021"/>
    <n v="42"/>
    <x v="0"/>
    <x v="1"/>
    <s v="Germany"/>
    <s v="Nordrhein-Westfalen"/>
    <x v="0"/>
    <s v="Mountain Bikes"/>
    <x v="4"/>
    <n v="4"/>
    <n v="1252"/>
    <n v="2295"/>
    <n v="4172"/>
    <x v="0"/>
    <x v="0"/>
    <x v="0"/>
    <x v="0"/>
  </r>
  <r>
    <s v="000261705"/>
    <d v="2021-12-05T00:00:00"/>
    <n v="5"/>
    <s v="December"/>
    <n v="2021"/>
    <n v="35"/>
    <x v="0"/>
    <x v="0"/>
    <s v="Australia"/>
    <s v="Queensland"/>
    <x v="0"/>
    <s v="Mountain Bikes"/>
    <x v="6"/>
    <n v="1"/>
    <n v="1266"/>
    <n v="2320"/>
    <n v="1054"/>
    <x v="5"/>
    <x v="5"/>
    <x v="5"/>
    <x v="5"/>
  </r>
  <r>
    <s v="000261706"/>
    <d v="2021-12-05T00:00:00"/>
    <n v="5"/>
    <s v="December"/>
    <n v="2021"/>
    <n v="37"/>
    <x v="0"/>
    <x v="0"/>
    <s v="United States"/>
    <s v="California"/>
    <x v="0"/>
    <s v="Mountain Bikes"/>
    <x v="0"/>
    <n v="1"/>
    <n v="1252"/>
    <n v="2295"/>
    <n v="1043"/>
    <x v="1"/>
    <x v="1"/>
    <x v="1"/>
    <x v="1"/>
  </r>
  <r>
    <s v="000261707"/>
    <d v="2021-12-06T00:00:00"/>
    <n v="6"/>
    <s v="December"/>
    <n v="2021"/>
    <n v="23"/>
    <x v="2"/>
    <x v="1"/>
    <s v="United Kingdom"/>
    <s v="England"/>
    <x v="0"/>
    <s v="Mountain Bikes"/>
    <x v="2"/>
    <n v="3"/>
    <n v="420"/>
    <n v="769"/>
    <n v="1047"/>
    <x v="7"/>
    <x v="7"/>
    <x v="7"/>
    <x v="7"/>
  </r>
  <r>
    <s v="000261708"/>
    <d v="2021-12-06T00:00:00"/>
    <n v="6"/>
    <s v="December"/>
    <n v="2021"/>
    <n v="27"/>
    <x v="1"/>
    <x v="1"/>
    <s v="Canada"/>
    <s v="British Columbia"/>
    <x v="0"/>
    <s v="Mountain Bikes"/>
    <x v="0"/>
    <n v="1"/>
    <n v="1252"/>
    <n v="2295"/>
    <n v="1043"/>
    <x v="1"/>
    <x v="1"/>
    <x v="1"/>
    <x v="1"/>
  </r>
  <r>
    <s v="000261719"/>
    <d v="2021-12-10T00:00:00"/>
    <n v="10"/>
    <s v="December"/>
    <n v="2021"/>
    <n v="34"/>
    <x v="1"/>
    <x v="0"/>
    <s v="United States"/>
    <s v="California"/>
    <x v="0"/>
    <s v="Mountain Bikes"/>
    <x v="1"/>
    <n v="2"/>
    <n v="1252"/>
    <n v="2295"/>
    <n v="2086"/>
    <x v="8"/>
    <x v="4"/>
    <x v="8"/>
    <x v="8"/>
  </r>
  <r>
    <s v="000261710"/>
    <d v="2021-12-06T00:00:00"/>
    <n v="6"/>
    <s v="December"/>
    <n v="2021"/>
    <n v="47"/>
    <x v="0"/>
    <x v="1"/>
    <s v="United Kingdom"/>
    <s v="England"/>
    <x v="0"/>
    <s v="Mountain Bikes"/>
    <x v="6"/>
    <n v="1"/>
    <n v="1266"/>
    <n v="2320"/>
    <n v="1054"/>
    <x v="5"/>
    <x v="5"/>
    <x v="5"/>
    <x v="5"/>
  </r>
  <r>
    <s v="000261711"/>
    <d v="2021-12-07T00:00:00"/>
    <n v="7"/>
    <s v="Decmber"/>
    <n v="2021"/>
    <n v="30"/>
    <x v="1"/>
    <x v="1"/>
    <s v="United States"/>
    <s v="California"/>
    <x v="0"/>
    <s v="Mountain Bikes"/>
    <x v="7"/>
    <n v="4"/>
    <n v="420"/>
    <n v="769"/>
    <n v="1396"/>
    <x v="6"/>
    <x v="6"/>
    <x v="6"/>
    <x v="6"/>
  </r>
  <r>
    <s v="000261720"/>
    <d v="2021-12-10T00:00:00"/>
    <n v="10"/>
    <s v="December"/>
    <n v="2021"/>
    <n v="40"/>
    <x v="0"/>
    <x v="1"/>
    <s v="Australia"/>
    <s v="New South Wales"/>
    <x v="0"/>
    <s v="Mountain Bikes"/>
    <x v="1"/>
    <n v="2"/>
    <n v="1252"/>
    <n v="2295"/>
    <n v="2086"/>
    <x v="8"/>
    <x v="4"/>
    <x v="8"/>
    <x v="8"/>
  </r>
  <r>
    <s v="000261713"/>
    <d v="2021-12-08T00:00:00"/>
    <n v="8"/>
    <s v="December"/>
    <n v="2021"/>
    <n v="19"/>
    <x v="2"/>
    <x v="0"/>
    <s v="Australia"/>
    <s v="New South Wales"/>
    <x v="0"/>
    <s v="Mountain Bikes"/>
    <x v="8"/>
    <n v="4"/>
    <n v="308"/>
    <n v="565"/>
    <n v="1028"/>
    <x v="9"/>
    <x v="8"/>
    <x v="9"/>
    <x v="9"/>
  </r>
  <r>
    <s v="000261714"/>
    <d v="2021-12-08T00:00:00"/>
    <n v="8"/>
    <s v="December"/>
    <n v="2021"/>
    <n v="30"/>
    <x v="1"/>
    <x v="0"/>
    <s v="Canada"/>
    <s v="British Columbia"/>
    <x v="0"/>
    <s v="Mountain Bikes"/>
    <x v="6"/>
    <n v="4"/>
    <n v="1266"/>
    <n v="2320"/>
    <n v="4216"/>
    <x v="10"/>
    <x v="9"/>
    <x v="10"/>
    <x v="10"/>
  </r>
  <r>
    <n v="261715"/>
    <d v="2021-12-08T00:00:00"/>
    <n v="8"/>
    <s v="December"/>
    <n v="2021"/>
    <n v="39"/>
    <x v="0"/>
    <x v="0"/>
    <s v="United States"/>
    <s v="Oregon"/>
    <x v="0"/>
    <s v="Mountain Bikes"/>
    <x v="9"/>
    <n v="2"/>
    <n v="1252"/>
    <n v="2295"/>
    <n v="2086"/>
    <x v="8"/>
    <x v="4"/>
    <x v="8"/>
    <x v="8"/>
  </r>
  <r>
    <n v="261716"/>
    <d v="2021-12-08T00:00:00"/>
    <n v="8"/>
    <s v="December"/>
    <n v="2021"/>
    <n v="35"/>
    <x v="0"/>
    <x v="0"/>
    <s v="United States"/>
    <s v="California"/>
    <x v="0"/>
    <s v="Mountain Bikes"/>
    <x v="10"/>
    <n v="1"/>
    <n v="295"/>
    <n v="540"/>
    <n v="245"/>
    <x v="11"/>
    <x v="10"/>
    <x v="11"/>
    <x v="11"/>
  </r>
  <r>
    <s v="000261717"/>
    <d v="2021-12-09T00:00:00"/>
    <n v="9"/>
    <s v="December"/>
    <n v="2021"/>
    <n v="33"/>
    <x v="1"/>
    <x v="0"/>
    <s v="Australia"/>
    <s v="Victoria"/>
    <x v="0"/>
    <s v="Mountain Bikes"/>
    <x v="11"/>
    <n v="2"/>
    <n v="1898"/>
    <n v="3375"/>
    <n v="2954"/>
    <x v="12"/>
    <x v="11"/>
    <x v="12"/>
    <x v="12"/>
  </r>
  <r>
    <s v="000261753"/>
    <d v="2021-12-18T00:00:00"/>
    <n v="18"/>
    <s v="December"/>
    <n v="2021"/>
    <n v="39"/>
    <x v="0"/>
    <x v="1"/>
    <s v="United States"/>
    <s v="California"/>
    <x v="0"/>
    <s v="Mountain Bikes"/>
    <x v="1"/>
    <n v="3"/>
    <n v="1252"/>
    <n v="2295"/>
    <n v="3129"/>
    <x v="13"/>
    <x v="12"/>
    <x v="13"/>
    <x v="13"/>
  </r>
  <r>
    <s v="000261774"/>
    <d v="2021-12-22T00:00:00"/>
    <n v="22"/>
    <s v="December"/>
    <n v="2021"/>
    <n v="41"/>
    <x v="0"/>
    <x v="1"/>
    <s v="United States"/>
    <s v="California"/>
    <x v="0"/>
    <s v="Mountain Bikes"/>
    <x v="1"/>
    <n v="3"/>
    <n v="1252"/>
    <n v="2295"/>
    <n v="3129"/>
    <x v="13"/>
    <x v="12"/>
    <x v="13"/>
    <x v="13"/>
  </r>
  <r>
    <s v="000261780"/>
    <d v="2021-12-23T00:00:00"/>
    <n v="23"/>
    <s v="December"/>
    <n v="2021"/>
    <n v="31"/>
    <x v="1"/>
    <x v="0"/>
    <s v="Canada"/>
    <s v="British Columbia"/>
    <x v="0"/>
    <s v="Mountain Bikes"/>
    <x v="1"/>
    <n v="1"/>
    <n v="1252"/>
    <n v="2295"/>
    <n v="1043"/>
    <x v="1"/>
    <x v="1"/>
    <x v="1"/>
    <x v="1"/>
  </r>
  <r>
    <s v="000261721"/>
    <d v="2021-12-10T00:00:00"/>
    <n v="10"/>
    <s v="December"/>
    <n v="2021"/>
    <n v="26"/>
    <x v="1"/>
    <x v="1"/>
    <s v="United Kingdom"/>
    <s v="England"/>
    <x v="0"/>
    <s v="Mountain Bikes"/>
    <x v="4"/>
    <n v="1"/>
    <n v="1252"/>
    <n v="2295"/>
    <n v="1043"/>
    <x v="1"/>
    <x v="1"/>
    <x v="1"/>
    <x v="1"/>
  </r>
  <r>
    <s v="000261722"/>
    <d v="2021-12-10T00:00:00"/>
    <n v="10"/>
    <s v="December"/>
    <n v="2021"/>
    <n v="34"/>
    <x v="1"/>
    <x v="1"/>
    <s v="United States"/>
    <s v="California"/>
    <x v="0"/>
    <s v="Mountain Bikes"/>
    <x v="12"/>
    <n v="1"/>
    <n v="295"/>
    <n v="540"/>
    <n v="245"/>
    <x v="11"/>
    <x v="10"/>
    <x v="11"/>
    <x v="11"/>
  </r>
  <r>
    <s v="000261723"/>
    <d v="2021-12-10T00:00:00"/>
    <n v="10"/>
    <s v="December"/>
    <n v="2021"/>
    <n v="34"/>
    <x v="1"/>
    <x v="0"/>
    <s v="United States"/>
    <s v="Washington"/>
    <x v="0"/>
    <s v="Mountain Bikes"/>
    <x v="13"/>
    <n v="1"/>
    <n v="1912"/>
    <n v="3400"/>
    <n v="1488"/>
    <x v="14"/>
    <x v="13"/>
    <x v="14"/>
    <x v="14"/>
  </r>
  <r>
    <s v="000261724"/>
    <d v="2021-12-10T00:00:00"/>
    <n v="10"/>
    <s v="December"/>
    <n v="2021"/>
    <n v="38"/>
    <x v="0"/>
    <x v="1"/>
    <s v="Australia"/>
    <s v="New South Wales"/>
    <x v="0"/>
    <s v="Mountain Bikes"/>
    <x v="4"/>
    <n v="1"/>
    <n v="1252"/>
    <n v="2295"/>
    <n v="1043"/>
    <x v="1"/>
    <x v="1"/>
    <x v="1"/>
    <x v="1"/>
  </r>
  <r>
    <s v="000261725"/>
    <d v="2021-12-11T00:00:00"/>
    <n v="11"/>
    <s v="December"/>
    <n v="2021"/>
    <n v="24"/>
    <x v="2"/>
    <x v="0"/>
    <s v="France"/>
    <s v="Seine (Paris)"/>
    <x v="0"/>
    <s v="Mountain Bikes"/>
    <x v="4"/>
    <n v="3"/>
    <n v="1252"/>
    <n v="2295"/>
    <n v="3129"/>
    <x v="13"/>
    <x v="12"/>
    <x v="13"/>
    <x v="13"/>
  </r>
  <r>
    <s v="000261726"/>
    <d v="2021-12-11T00:00:00"/>
    <n v="11"/>
    <s v="December"/>
    <n v="2021"/>
    <n v="41"/>
    <x v="0"/>
    <x v="0"/>
    <s v="Australia"/>
    <s v="New South Wales"/>
    <x v="0"/>
    <s v="Mountain Bikes"/>
    <x v="7"/>
    <n v="2"/>
    <n v="420"/>
    <n v="769"/>
    <n v="698"/>
    <x v="2"/>
    <x v="2"/>
    <x v="2"/>
    <x v="2"/>
  </r>
  <r>
    <s v="000261727"/>
    <d v="2021-12-11T00:00:00"/>
    <n v="11"/>
    <s v="December"/>
    <n v="2021"/>
    <n v="27"/>
    <x v="1"/>
    <x v="1"/>
    <s v="Canada"/>
    <s v="British Columbia"/>
    <x v="0"/>
    <s v="Mountain Bikes"/>
    <x v="0"/>
    <n v="1"/>
    <n v="1252"/>
    <n v="2295"/>
    <n v="1043"/>
    <x v="1"/>
    <x v="1"/>
    <x v="1"/>
    <x v="1"/>
  </r>
  <r>
    <s v="000261728"/>
    <d v="2021-12-11T00:00:00"/>
    <n v="11"/>
    <s v="December"/>
    <n v="2021"/>
    <n v="37"/>
    <x v="0"/>
    <x v="1"/>
    <s v="United States"/>
    <s v="California"/>
    <x v="0"/>
    <s v="Mountain Bikes"/>
    <x v="2"/>
    <n v="1"/>
    <n v="420"/>
    <n v="769"/>
    <n v="349"/>
    <x v="3"/>
    <x v="3"/>
    <x v="3"/>
    <x v="3"/>
  </r>
  <r>
    <s v="000261729"/>
    <d v="2021-12-11T00:00:00"/>
    <n v="11"/>
    <s v="December"/>
    <n v="2021"/>
    <n v="38"/>
    <x v="0"/>
    <x v="0"/>
    <s v="United States"/>
    <s v="California"/>
    <x v="0"/>
    <s v="Mountain Bikes"/>
    <x v="6"/>
    <n v="1"/>
    <n v="1266"/>
    <n v="2320"/>
    <n v="1054"/>
    <x v="5"/>
    <x v="5"/>
    <x v="5"/>
    <x v="5"/>
  </r>
  <r>
    <s v="000261782"/>
    <d v="2021-12-24T00:00:00"/>
    <n v="24"/>
    <s v="December"/>
    <n v="2021"/>
    <n v="38"/>
    <x v="0"/>
    <x v="1"/>
    <s v="Australia"/>
    <s v="Queensland"/>
    <x v="0"/>
    <s v="Mountain Bikes"/>
    <x v="1"/>
    <n v="4"/>
    <n v="1252"/>
    <n v="2295"/>
    <n v="4172"/>
    <x v="0"/>
    <x v="0"/>
    <x v="0"/>
    <x v="0"/>
  </r>
  <r>
    <s v="000261731"/>
    <d v="2021-12-12T00:00:00"/>
    <n v="12"/>
    <s v="December"/>
    <n v="2021"/>
    <n v="37"/>
    <x v="0"/>
    <x v="1"/>
    <s v="United States"/>
    <s v="California"/>
    <x v="0"/>
    <s v="Mountain Bikes"/>
    <x v="2"/>
    <n v="4"/>
    <n v="420"/>
    <n v="769"/>
    <n v="1396"/>
    <x v="6"/>
    <x v="6"/>
    <x v="6"/>
    <x v="6"/>
  </r>
  <r>
    <s v="000261732"/>
    <d v="2021-12-12T00:00:00"/>
    <n v="12"/>
    <s v="December"/>
    <n v="2021"/>
    <n v="34"/>
    <x v="1"/>
    <x v="1"/>
    <s v="Australia"/>
    <s v="New South Wales"/>
    <x v="0"/>
    <s v="Mountain Bikes"/>
    <x v="4"/>
    <n v="2"/>
    <n v="1252"/>
    <n v="2295"/>
    <n v="2086"/>
    <x v="8"/>
    <x v="4"/>
    <x v="8"/>
    <x v="8"/>
  </r>
  <r>
    <s v="000261701"/>
    <d v="2021-12-03T00:00:00"/>
    <n v="3"/>
    <s v="December"/>
    <n v="2021"/>
    <n v="37"/>
    <x v="0"/>
    <x v="1"/>
    <s v="United States"/>
    <s v="Washington"/>
    <x v="0"/>
    <s v="Mountain Bikes"/>
    <x v="0"/>
    <n v="1"/>
    <n v="1252"/>
    <n v="2295"/>
    <n v="1043"/>
    <x v="1"/>
    <x v="1"/>
    <x v="1"/>
    <x v="1"/>
  </r>
  <r>
    <s v="000261712"/>
    <d v="2021-12-07T00:00:00"/>
    <n v="7"/>
    <s v="December"/>
    <n v="2021"/>
    <n v="38"/>
    <x v="0"/>
    <x v="1"/>
    <s v="United States"/>
    <s v="California"/>
    <x v="0"/>
    <s v="Mountain Bikes"/>
    <x v="5"/>
    <n v="2"/>
    <n v="1266"/>
    <n v="2320"/>
    <n v="2108"/>
    <x v="15"/>
    <x v="14"/>
    <x v="15"/>
    <x v="14"/>
  </r>
  <r>
    <s v="000261718"/>
    <d v="2021-12-09T00:00:00"/>
    <n v="9"/>
    <s v="December"/>
    <n v="2021"/>
    <n v="41"/>
    <x v="0"/>
    <x v="0"/>
    <s v="Germany"/>
    <s v="Hamburg"/>
    <x v="0"/>
    <s v="Mountain Bikes"/>
    <x v="5"/>
    <n v="1"/>
    <n v="1266"/>
    <n v="2320"/>
    <n v="1054"/>
    <x v="5"/>
    <x v="5"/>
    <x v="5"/>
    <x v="5"/>
  </r>
  <r>
    <s v="000261736"/>
    <d v="2021-12-13T00:00:00"/>
    <n v="13"/>
    <s v="December"/>
    <n v="2021"/>
    <n v="40"/>
    <x v="0"/>
    <x v="0"/>
    <s v="United States"/>
    <s v="California"/>
    <x v="0"/>
    <s v="Mountain Bikes"/>
    <x v="14"/>
    <n v="1"/>
    <n v="308"/>
    <n v="565"/>
    <n v="257"/>
    <x v="16"/>
    <x v="15"/>
    <x v="16"/>
    <x v="15"/>
  </r>
  <r>
    <s v="000261737"/>
    <d v="2021-12-13T00:00:00"/>
    <n v="13"/>
    <s v="December"/>
    <n v="2021"/>
    <n v="44"/>
    <x v="0"/>
    <x v="0"/>
    <s v="United Kingdom"/>
    <s v="England"/>
    <x v="0"/>
    <s v="Mountain Bikes"/>
    <x v="4"/>
    <n v="1"/>
    <n v="1252"/>
    <n v="2295"/>
    <n v="1043"/>
    <x v="1"/>
    <x v="1"/>
    <x v="1"/>
    <x v="1"/>
  </r>
  <r>
    <s v="000261738"/>
    <d v="2021-12-13T00:00:00"/>
    <n v="13"/>
    <s v="December"/>
    <n v="2021"/>
    <n v="49"/>
    <x v="0"/>
    <x v="1"/>
    <s v="United Kingdom"/>
    <s v="England"/>
    <x v="0"/>
    <s v="Mountain Bikes"/>
    <x v="4"/>
    <n v="1"/>
    <n v="1252"/>
    <n v="2295"/>
    <n v="1043"/>
    <x v="1"/>
    <x v="1"/>
    <x v="1"/>
    <x v="1"/>
  </r>
  <r>
    <s v="000261739"/>
    <d v="2021-12-14T00:00:00"/>
    <n v="14"/>
    <s v="December"/>
    <n v="2021"/>
    <n v="30"/>
    <x v="1"/>
    <x v="0"/>
    <s v="United States"/>
    <s v="Washington"/>
    <x v="0"/>
    <s v="Mountain Bikes"/>
    <x v="6"/>
    <n v="2"/>
    <n v="1266"/>
    <n v="2320"/>
    <n v="2108"/>
    <x v="15"/>
    <x v="14"/>
    <x v="15"/>
    <x v="14"/>
  </r>
  <r>
    <s v="000261740"/>
    <d v="2021-12-14T00:00:00"/>
    <n v="14"/>
    <s v="December"/>
    <n v="2021"/>
    <n v="32"/>
    <x v="1"/>
    <x v="1"/>
    <s v="United States"/>
    <s v="California"/>
    <x v="0"/>
    <s v="Mountain Bikes"/>
    <x v="0"/>
    <n v="1"/>
    <n v="1252"/>
    <n v="2295"/>
    <n v="1043"/>
    <x v="1"/>
    <x v="1"/>
    <x v="1"/>
    <x v="1"/>
  </r>
  <r>
    <s v="000261741"/>
    <d v="2021-12-14T00:00:00"/>
    <n v="14"/>
    <s v="December"/>
    <n v="2021"/>
    <n v="32"/>
    <x v="1"/>
    <x v="0"/>
    <s v="Australia"/>
    <s v="Victoria"/>
    <x v="0"/>
    <s v="Mountain Bikes"/>
    <x v="2"/>
    <n v="1"/>
    <n v="420"/>
    <n v="769"/>
    <n v="349"/>
    <x v="3"/>
    <x v="3"/>
    <x v="3"/>
    <x v="3"/>
  </r>
  <r>
    <s v="000261730"/>
    <d v="2021-12-12T00:00:00"/>
    <n v="12"/>
    <s v="December"/>
    <n v="2021"/>
    <n v="36"/>
    <x v="0"/>
    <x v="0"/>
    <s v="Australia"/>
    <s v="New South Wales"/>
    <x v="0"/>
    <s v="Mountain Bikes"/>
    <x v="5"/>
    <n v="4"/>
    <n v="1266"/>
    <n v="2320"/>
    <n v="4216"/>
    <x v="10"/>
    <x v="9"/>
    <x v="10"/>
    <x v="10"/>
  </r>
  <r>
    <s v="000261743"/>
    <d v="2021-12-16T00:00:00"/>
    <n v="16"/>
    <s v="December"/>
    <n v="2021"/>
    <n v="33"/>
    <x v="1"/>
    <x v="0"/>
    <s v="Australia"/>
    <s v="New South Wales"/>
    <x v="0"/>
    <s v="Mountain Bikes"/>
    <x v="4"/>
    <n v="2"/>
    <n v="1252"/>
    <n v="2295"/>
    <n v="2086"/>
    <x v="8"/>
    <x v="4"/>
    <x v="8"/>
    <x v="8"/>
  </r>
  <r>
    <s v="000261744"/>
    <d v="2021-12-16T00:00:00"/>
    <n v="16"/>
    <s v="December"/>
    <n v="2021"/>
    <n v="38"/>
    <x v="0"/>
    <x v="1"/>
    <s v="Australia"/>
    <s v="New South Wales"/>
    <x v="0"/>
    <s v="Mountain Bikes"/>
    <x v="4"/>
    <n v="2"/>
    <n v="1252"/>
    <n v="2295"/>
    <n v="2086"/>
    <x v="8"/>
    <x v="4"/>
    <x v="8"/>
    <x v="8"/>
  </r>
  <r>
    <s v="000261745"/>
    <d v="2021-12-16T00:00:00"/>
    <n v="16"/>
    <s v="December"/>
    <n v="2021"/>
    <n v="27"/>
    <x v="1"/>
    <x v="0"/>
    <s v="France"/>
    <s v="Seine et Marne"/>
    <x v="0"/>
    <s v="Mountain Bikes"/>
    <x v="15"/>
    <n v="1"/>
    <n v="1266"/>
    <n v="2320"/>
    <n v="1054"/>
    <x v="5"/>
    <x v="5"/>
    <x v="5"/>
    <x v="5"/>
  </r>
  <r>
    <s v="000261746"/>
    <d v="2021-12-17T00:00:00"/>
    <n v="17"/>
    <s v="December"/>
    <n v="2021"/>
    <n v="37"/>
    <x v="0"/>
    <x v="0"/>
    <s v="United States"/>
    <s v="Washington"/>
    <x v="0"/>
    <s v="Mountain Bikes"/>
    <x v="6"/>
    <n v="2"/>
    <n v="1266"/>
    <n v="2320"/>
    <n v="2108"/>
    <x v="15"/>
    <x v="14"/>
    <x v="15"/>
    <x v="14"/>
  </r>
  <r>
    <s v="000261747"/>
    <d v="2021-12-17T00:00:00"/>
    <n v="17"/>
    <s v="December"/>
    <n v="2021"/>
    <n v="31"/>
    <x v="1"/>
    <x v="1"/>
    <s v="Australia"/>
    <s v="New South Wales"/>
    <x v="0"/>
    <s v="Mountain Bikes"/>
    <x v="3"/>
    <n v="1"/>
    <n v="420"/>
    <n v="769"/>
    <n v="349"/>
    <x v="3"/>
    <x v="3"/>
    <x v="3"/>
    <x v="3"/>
  </r>
  <r>
    <s v="000261748"/>
    <d v="2021-12-17T00:00:00"/>
    <n v="17"/>
    <s v="December"/>
    <n v="2021"/>
    <n v="42"/>
    <x v="0"/>
    <x v="0"/>
    <s v="Germany"/>
    <s v="Nordrhein-Westfalen"/>
    <x v="0"/>
    <s v="Mountain Bikes"/>
    <x v="15"/>
    <n v="1"/>
    <n v="1266"/>
    <n v="2320"/>
    <n v="1054"/>
    <x v="5"/>
    <x v="5"/>
    <x v="5"/>
    <x v="5"/>
  </r>
  <r>
    <s v="000261749"/>
    <d v="2021-12-18T00:00:00"/>
    <n v="18"/>
    <s v="December"/>
    <n v="2021"/>
    <n v="35"/>
    <x v="0"/>
    <x v="0"/>
    <s v="Australia"/>
    <s v="New South Wales"/>
    <x v="0"/>
    <s v="Mountain Bikes"/>
    <x v="8"/>
    <n v="4"/>
    <n v="308"/>
    <n v="565"/>
    <n v="1028"/>
    <x v="9"/>
    <x v="8"/>
    <x v="9"/>
    <x v="9"/>
  </r>
  <r>
    <s v="000261750"/>
    <d v="2021-12-18T00:00:00"/>
    <n v="18"/>
    <s v="December"/>
    <n v="2021"/>
    <n v="38"/>
    <x v="0"/>
    <x v="0"/>
    <s v="Germany"/>
    <s v="Nordrhein-Westfalen"/>
    <x v="0"/>
    <s v="Mountain Bikes"/>
    <x v="15"/>
    <n v="4"/>
    <n v="1266"/>
    <n v="2320"/>
    <n v="4216"/>
    <x v="10"/>
    <x v="9"/>
    <x v="10"/>
    <x v="10"/>
  </r>
  <r>
    <s v="000261751"/>
    <d v="2021-12-18T00:00:00"/>
    <n v="18"/>
    <s v="December"/>
    <n v="2021"/>
    <n v="24"/>
    <x v="2"/>
    <x v="0"/>
    <s v="France"/>
    <s v="Seine Saint Denis"/>
    <x v="0"/>
    <s v="Mountain Bikes"/>
    <x v="6"/>
    <n v="3"/>
    <n v="1266"/>
    <n v="2320"/>
    <n v="3162"/>
    <x v="17"/>
    <x v="16"/>
    <x v="17"/>
    <x v="16"/>
  </r>
  <r>
    <s v="000261752"/>
    <d v="2021-12-18T00:00:00"/>
    <n v="18"/>
    <s v="December"/>
    <n v="2021"/>
    <n v="26"/>
    <x v="1"/>
    <x v="0"/>
    <s v="United Kingdom"/>
    <s v="England"/>
    <x v="0"/>
    <s v="Mountain Bikes"/>
    <x v="3"/>
    <n v="3"/>
    <n v="420"/>
    <n v="769"/>
    <n v="1047"/>
    <x v="7"/>
    <x v="7"/>
    <x v="7"/>
    <x v="7"/>
  </r>
  <r>
    <s v="000261733"/>
    <d v="2021-12-12T00:00:00"/>
    <n v="12"/>
    <s v="December"/>
    <n v="2021"/>
    <n v="35"/>
    <x v="0"/>
    <x v="0"/>
    <s v="Australia"/>
    <s v="Victoria"/>
    <x v="0"/>
    <s v="Mountain Bikes"/>
    <x v="5"/>
    <n v="1"/>
    <n v="1266"/>
    <n v="2320"/>
    <n v="1054"/>
    <x v="5"/>
    <x v="5"/>
    <x v="5"/>
    <x v="5"/>
  </r>
  <r>
    <s v="000261754"/>
    <d v="2021-12-18T00:00:00"/>
    <n v="18"/>
    <s v="December"/>
    <n v="2021"/>
    <n v="26"/>
    <x v="1"/>
    <x v="1"/>
    <s v="France"/>
    <s v="Seine (Paris)"/>
    <x v="0"/>
    <s v="Mountain Bikes"/>
    <x v="0"/>
    <n v="1"/>
    <n v="1252"/>
    <n v="2295"/>
    <n v="1043"/>
    <x v="1"/>
    <x v="1"/>
    <x v="1"/>
    <x v="1"/>
  </r>
  <r>
    <s v="000261755"/>
    <d v="2021-12-18T00:00:00"/>
    <n v="18"/>
    <s v="December"/>
    <n v="2021"/>
    <n v="36"/>
    <x v="0"/>
    <x v="1"/>
    <s v="United States"/>
    <s v="Washington"/>
    <x v="0"/>
    <s v="Mountain Bikes"/>
    <x v="6"/>
    <n v="1"/>
    <n v="1266"/>
    <n v="2320"/>
    <n v="1054"/>
    <x v="5"/>
    <x v="5"/>
    <x v="5"/>
    <x v="5"/>
  </r>
  <r>
    <s v="000261756"/>
    <d v="2021-12-19T00:00:00"/>
    <n v="19"/>
    <s v="December"/>
    <n v="2021"/>
    <n v="17"/>
    <x v="2"/>
    <x v="1"/>
    <s v="France"/>
    <s v="Nord"/>
    <x v="0"/>
    <s v="Mountain Bikes"/>
    <x v="15"/>
    <n v="4"/>
    <n v="1266"/>
    <n v="2320"/>
    <n v="4216"/>
    <x v="10"/>
    <x v="9"/>
    <x v="10"/>
    <x v="10"/>
  </r>
  <r>
    <s v="000261757"/>
    <d v="2021-12-19T00:00:00"/>
    <n v="19"/>
    <s v="December"/>
    <n v="2021"/>
    <n v="19"/>
    <x v="2"/>
    <x v="0"/>
    <s v="Australia"/>
    <s v="Victoria"/>
    <x v="0"/>
    <s v="Mountain Bikes"/>
    <x v="16"/>
    <n v="4"/>
    <n v="295"/>
    <n v="540"/>
    <n v="980"/>
    <x v="18"/>
    <x v="17"/>
    <x v="18"/>
    <x v="17"/>
  </r>
  <r>
    <s v="000261758"/>
    <d v="2021-12-19T00:00:00"/>
    <n v="19"/>
    <s v="December"/>
    <n v="2021"/>
    <n v="25"/>
    <x v="1"/>
    <x v="1"/>
    <s v="France"/>
    <s v="Seine (Paris)"/>
    <x v="0"/>
    <s v="Mountain Bikes"/>
    <x v="4"/>
    <n v="4"/>
    <n v="1252"/>
    <n v="2295"/>
    <n v="4172"/>
    <x v="0"/>
    <x v="0"/>
    <x v="0"/>
    <x v="0"/>
  </r>
  <r>
    <s v="000261759"/>
    <d v="2021-12-19T00:00:00"/>
    <n v="19"/>
    <s v="December"/>
    <n v="2021"/>
    <n v="35"/>
    <x v="0"/>
    <x v="0"/>
    <s v="United States"/>
    <s v="Oregon"/>
    <x v="0"/>
    <s v="Mountain Bikes"/>
    <x v="17"/>
    <n v="4"/>
    <n v="1898"/>
    <n v="3375"/>
    <n v="5908"/>
    <x v="19"/>
    <x v="18"/>
    <x v="19"/>
    <x v="18"/>
  </r>
  <r>
    <s v="000261760"/>
    <d v="2021-12-19T00:00:00"/>
    <n v="19"/>
    <s v="December"/>
    <n v="2021"/>
    <n v="37"/>
    <x v="0"/>
    <x v="1"/>
    <s v="United States"/>
    <s v="Oregon"/>
    <x v="0"/>
    <s v="Mountain Bikes"/>
    <x v="4"/>
    <n v="4"/>
    <n v="1252"/>
    <n v="2295"/>
    <n v="4172"/>
    <x v="0"/>
    <x v="0"/>
    <x v="0"/>
    <x v="0"/>
  </r>
  <r>
    <s v="000261761"/>
    <d v="2021-12-19T00:00:00"/>
    <n v="19"/>
    <s v="December"/>
    <n v="2021"/>
    <n v="39"/>
    <x v="0"/>
    <x v="0"/>
    <s v="United States"/>
    <s v="California"/>
    <x v="0"/>
    <s v="Mountain Bikes"/>
    <x v="0"/>
    <n v="4"/>
    <n v="1252"/>
    <n v="2295"/>
    <n v="4172"/>
    <x v="0"/>
    <x v="0"/>
    <x v="0"/>
    <x v="0"/>
  </r>
  <r>
    <s v="000261762"/>
    <d v="2021-12-19T00:00:00"/>
    <n v="19"/>
    <s v="December"/>
    <n v="2021"/>
    <n v="63"/>
    <x v="0"/>
    <x v="0"/>
    <s v="Australia"/>
    <s v="Queensland"/>
    <x v="0"/>
    <s v="Mountain Bikes"/>
    <x v="0"/>
    <n v="4"/>
    <n v="1252"/>
    <n v="2295"/>
    <n v="4172"/>
    <x v="0"/>
    <x v="0"/>
    <x v="0"/>
    <x v="0"/>
  </r>
  <r>
    <s v="000261763"/>
    <d v="2021-12-19T00:00:00"/>
    <n v="19"/>
    <s v="December"/>
    <n v="2021"/>
    <n v="18"/>
    <x v="2"/>
    <x v="1"/>
    <s v="Australia"/>
    <s v="South Australia"/>
    <x v="0"/>
    <s v="Mountain Bikes"/>
    <x v="12"/>
    <n v="2"/>
    <n v="295"/>
    <n v="540"/>
    <n v="490"/>
    <x v="20"/>
    <x v="19"/>
    <x v="20"/>
    <x v="19"/>
  </r>
  <r>
    <s v="000261764"/>
    <d v="2021-12-19T00:00:00"/>
    <n v="19"/>
    <s v="December"/>
    <n v="2021"/>
    <n v="56"/>
    <x v="0"/>
    <x v="0"/>
    <s v="Germany"/>
    <s v="Hessen"/>
    <x v="0"/>
    <s v="Mountain Bikes"/>
    <x v="0"/>
    <n v="2"/>
    <n v="1252"/>
    <n v="2295"/>
    <n v="2086"/>
    <x v="8"/>
    <x v="4"/>
    <x v="8"/>
    <x v="8"/>
  </r>
  <r>
    <s v="000261765"/>
    <d v="2021-12-19T00:00:00"/>
    <n v="19"/>
    <s v="December"/>
    <n v="2021"/>
    <n v="39"/>
    <x v="0"/>
    <x v="0"/>
    <s v="United States"/>
    <s v="Washington"/>
    <x v="0"/>
    <s v="Mountain Bikes"/>
    <x v="6"/>
    <n v="1"/>
    <n v="1266"/>
    <n v="2320"/>
    <n v="1054"/>
    <x v="5"/>
    <x v="5"/>
    <x v="5"/>
    <x v="5"/>
  </r>
  <r>
    <s v="000261766"/>
    <d v="2021-12-20T00:00:00"/>
    <n v="20"/>
    <s v="December"/>
    <n v="2021"/>
    <n v="33"/>
    <x v="1"/>
    <x v="0"/>
    <s v="Australia"/>
    <s v="Victoria"/>
    <x v="0"/>
    <s v="Mountain Bikes"/>
    <x v="11"/>
    <n v="4"/>
    <n v="1898"/>
    <n v="3375"/>
    <n v="5908"/>
    <x v="19"/>
    <x v="18"/>
    <x v="19"/>
    <x v="18"/>
  </r>
  <r>
    <s v="000261767"/>
    <d v="2021-12-20T00:00:00"/>
    <n v="20"/>
    <s v="December"/>
    <n v="2021"/>
    <n v="57"/>
    <x v="0"/>
    <x v="1"/>
    <s v="Australia"/>
    <s v="Queensland"/>
    <x v="0"/>
    <s v="Mountain Bikes"/>
    <x v="0"/>
    <n v="4"/>
    <n v="1252"/>
    <n v="2295"/>
    <n v="4172"/>
    <x v="0"/>
    <x v="0"/>
    <x v="0"/>
    <x v="0"/>
  </r>
  <r>
    <s v="000261768"/>
    <d v="2021-12-20T00:00:00"/>
    <n v="20"/>
    <s v="December"/>
    <n v="2021"/>
    <n v="29"/>
    <x v="1"/>
    <x v="1"/>
    <s v="Canada"/>
    <s v="British Columbia"/>
    <x v="0"/>
    <s v="Mountain Bikes"/>
    <x v="18"/>
    <n v="3"/>
    <n v="295"/>
    <n v="540"/>
    <n v="735"/>
    <x v="21"/>
    <x v="20"/>
    <x v="21"/>
    <x v="20"/>
  </r>
  <r>
    <s v="000261769"/>
    <d v="2021-12-20T00:00:00"/>
    <n v="20"/>
    <s v="December"/>
    <n v="2021"/>
    <n v="35"/>
    <x v="0"/>
    <x v="0"/>
    <s v="Australia"/>
    <s v="Queensland"/>
    <x v="0"/>
    <s v="Mountain Bikes"/>
    <x v="6"/>
    <n v="1"/>
    <n v="1266"/>
    <n v="2320"/>
    <n v="1054"/>
    <x v="5"/>
    <x v="5"/>
    <x v="5"/>
    <x v="5"/>
  </r>
  <r>
    <s v="000261770"/>
    <d v="2021-12-20T00:00:00"/>
    <n v="20"/>
    <s v="December"/>
    <n v="2021"/>
    <n v="35"/>
    <x v="0"/>
    <x v="1"/>
    <s v="Australia"/>
    <s v="Victoria"/>
    <x v="0"/>
    <s v="Mountain Bikes"/>
    <x v="6"/>
    <n v="1"/>
    <n v="1266"/>
    <n v="2320"/>
    <n v="1054"/>
    <x v="5"/>
    <x v="5"/>
    <x v="5"/>
    <x v="5"/>
  </r>
  <r>
    <s v="000261771"/>
    <d v="2021-12-21T00:00:00"/>
    <n v="21"/>
    <s v="December"/>
    <n v="2021"/>
    <n v="26"/>
    <x v="1"/>
    <x v="1"/>
    <s v="France"/>
    <s v="Somme"/>
    <x v="0"/>
    <s v="Mountain Bikes"/>
    <x v="6"/>
    <n v="3"/>
    <n v="1266"/>
    <n v="2320"/>
    <n v="3162"/>
    <x v="17"/>
    <x v="16"/>
    <x v="17"/>
    <x v="16"/>
  </r>
  <r>
    <s v="000261772"/>
    <d v="2021-12-21T00:00:00"/>
    <n v="21"/>
    <s v="December"/>
    <n v="2021"/>
    <n v="23"/>
    <x v="2"/>
    <x v="1"/>
    <s v="United Kingdom"/>
    <s v="England"/>
    <x v="0"/>
    <s v="Mountain Bikes"/>
    <x v="2"/>
    <n v="2"/>
    <n v="420"/>
    <n v="769"/>
    <n v="698"/>
    <x v="2"/>
    <x v="2"/>
    <x v="2"/>
    <x v="2"/>
  </r>
  <r>
    <s v="000261773"/>
    <d v="2021-12-22T00:00:00"/>
    <n v="22"/>
    <s v="December"/>
    <n v="2021"/>
    <n v="30"/>
    <x v="1"/>
    <x v="0"/>
    <s v="United States"/>
    <s v="Washington"/>
    <x v="0"/>
    <s v="Mountain Bikes"/>
    <x v="6"/>
    <n v="3"/>
    <n v="1266"/>
    <n v="2320"/>
    <n v="3162"/>
    <x v="17"/>
    <x v="16"/>
    <x v="17"/>
    <x v="16"/>
  </r>
  <r>
    <s v="000261734"/>
    <d v="2021-12-12T00:00:00"/>
    <n v="12"/>
    <s v="December"/>
    <n v="2021"/>
    <n v="38"/>
    <x v="0"/>
    <x v="0"/>
    <s v="United States"/>
    <s v="Washington"/>
    <x v="0"/>
    <s v="Mountain Bikes"/>
    <x v="5"/>
    <n v="1"/>
    <n v="1266"/>
    <n v="2320"/>
    <n v="1054"/>
    <x v="5"/>
    <x v="5"/>
    <x v="5"/>
    <x v="5"/>
  </r>
  <r>
    <s v="000261775"/>
    <d v="2021-12-22T00:00:00"/>
    <n v="22"/>
    <s v="December"/>
    <n v="2021"/>
    <n v="19"/>
    <x v="2"/>
    <x v="0"/>
    <s v="Australia"/>
    <s v="New South Wales"/>
    <x v="0"/>
    <s v="Mountain Bikes"/>
    <x v="8"/>
    <n v="1"/>
    <n v="308"/>
    <n v="565"/>
    <n v="257"/>
    <x v="16"/>
    <x v="15"/>
    <x v="16"/>
    <x v="15"/>
  </r>
  <r>
    <s v="000261776"/>
    <d v="2021-12-22T00:00:00"/>
    <n v="22"/>
    <s v="December"/>
    <n v="2021"/>
    <n v="25"/>
    <x v="1"/>
    <x v="1"/>
    <s v="France"/>
    <s v="Seine (Paris)"/>
    <x v="0"/>
    <s v="Mountain Bikes"/>
    <x v="4"/>
    <n v="1"/>
    <n v="1252"/>
    <n v="2295"/>
    <n v="1043"/>
    <x v="1"/>
    <x v="1"/>
    <x v="1"/>
    <x v="1"/>
  </r>
  <r>
    <s v="000261777"/>
    <d v="2021-12-22T00:00:00"/>
    <n v="22"/>
    <s v="December"/>
    <n v="2021"/>
    <n v="27"/>
    <x v="1"/>
    <x v="0"/>
    <s v="Canada"/>
    <s v="British Columbia"/>
    <x v="0"/>
    <s v="Mountain Bikes"/>
    <x v="0"/>
    <n v="1"/>
    <n v="1252"/>
    <n v="2295"/>
    <n v="1043"/>
    <x v="1"/>
    <x v="1"/>
    <x v="1"/>
    <x v="1"/>
  </r>
  <r>
    <s v="000261778"/>
    <d v="2021-12-22T00:00:00"/>
    <n v="22"/>
    <s v="December"/>
    <n v="2021"/>
    <n v="41"/>
    <x v="0"/>
    <x v="1"/>
    <s v="Germany"/>
    <s v="Hessen"/>
    <x v="0"/>
    <s v="Mountain Bikes"/>
    <x v="6"/>
    <n v="1"/>
    <n v="1266"/>
    <n v="2320"/>
    <n v="1054"/>
    <x v="5"/>
    <x v="5"/>
    <x v="5"/>
    <x v="5"/>
  </r>
  <r>
    <s v="000261735"/>
    <d v="2021-12-13T00:00:00"/>
    <n v="13"/>
    <s v="December"/>
    <n v="2021"/>
    <n v="32"/>
    <x v="1"/>
    <x v="0"/>
    <s v="Australia"/>
    <s v="Queensland"/>
    <x v="0"/>
    <s v="Mountain Bikes"/>
    <x v="5"/>
    <n v="3"/>
    <n v="1266"/>
    <n v="2320"/>
    <n v="3162"/>
    <x v="17"/>
    <x v="16"/>
    <x v="17"/>
    <x v="16"/>
  </r>
  <r>
    <s v="000261742"/>
    <d v="2021-12-15T00:00:00"/>
    <n v="15"/>
    <s v="December"/>
    <n v="2021"/>
    <n v="29"/>
    <x v="1"/>
    <x v="0"/>
    <s v="United States"/>
    <s v="California"/>
    <x v="0"/>
    <s v="Mountain Bikes"/>
    <x v="5"/>
    <n v="1"/>
    <n v="1266"/>
    <n v="2320"/>
    <n v="1054"/>
    <x v="5"/>
    <x v="5"/>
    <x v="5"/>
    <x v="5"/>
  </r>
  <r>
    <s v="000261781"/>
    <d v="2021-12-23T00:00:00"/>
    <n v="23"/>
    <s v="December"/>
    <n v="2021"/>
    <n v="35"/>
    <x v="0"/>
    <x v="0"/>
    <s v="United States"/>
    <s v="California"/>
    <x v="0"/>
    <s v="Mountain Bikes"/>
    <x v="10"/>
    <n v="1"/>
    <n v="295"/>
    <n v="540"/>
    <n v="245"/>
    <x v="11"/>
    <x v="10"/>
    <x v="11"/>
    <x v="11"/>
  </r>
  <r>
    <s v="000261779"/>
    <d v="2021-12-23T00:00:00"/>
    <n v="23"/>
    <s v="December"/>
    <n v="2021"/>
    <n v="30"/>
    <x v="1"/>
    <x v="0"/>
    <s v="United States"/>
    <s v="Oregon"/>
    <x v="0"/>
    <s v="Mountain Bikes"/>
    <x v="5"/>
    <n v="1"/>
    <n v="1266"/>
    <n v="2320"/>
    <n v="1054"/>
    <x v="5"/>
    <x v="5"/>
    <x v="5"/>
    <x v="5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  <r>
    <m/>
    <m/>
    <m/>
    <m/>
    <m/>
    <m/>
    <x v="3"/>
    <x v="2"/>
    <m/>
    <m/>
    <x v="1"/>
    <m/>
    <x v="19"/>
    <m/>
    <m/>
    <m/>
    <m/>
    <x v="22"/>
    <x v="21"/>
    <x v="2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208D0-CE80-3B44-A384-0C6313D3A1F9}" name="PivotTable10" cacheId="4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K24" firstHeaderRow="1" firstDataRow="3" firstDataCol="1"/>
  <pivotFields count="20">
    <pivotField showAll="0"/>
    <pivotField showAll="0"/>
    <pivotField showAll="0">
      <items count="26">
        <item x="0"/>
        <item x="2"/>
        <item x="3"/>
        <item x="4"/>
        <item x="5"/>
        <item x="1"/>
        <item x="7"/>
        <item x="8"/>
        <item x="9"/>
        <item x="6"/>
        <item x="13"/>
        <item x="15"/>
        <item x="16"/>
        <item x="17"/>
        <item x="23"/>
        <item x="18"/>
        <item x="19"/>
        <item x="10"/>
        <item x="20"/>
        <item x="21"/>
        <item x="22"/>
        <item x="11"/>
        <item x="12"/>
        <item x="14"/>
        <item x="24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Col" dataField="1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9">
        <item x="6"/>
        <item x="0"/>
        <item x="2"/>
        <item x="10"/>
        <item x="15"/>
        <item x="1"/>
        <item x="13"/>
        <item x="4"/>
        <item x="7"/>
        <item x="5"/>
        <item x="9"/>
        <item x="11"/>
        <item x="12"/>
        <item x="16"/>
        <item x="14"/>
        <item x="8"/>
        <item x="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-2"/>
    <field x="6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Sum of Revenue" fld="18" baseField="0" baseItem="0"/>
    <dataField name="Count of Age_Group" fld="6" subtotal="count" baseField="0" baseItem="0"/>
  </dataFields>
  <chartFormats count="8"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A423B-A26E-414F-AE70-F0533213092F}" name="PivotTable13" cacheId="4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2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6"/>
        <item x="0"/>
        <item x="2"/>
        <item x="10"/>
        <item x="15"/>
        <item x="1"/>
        <item x="13"/>
        <item x="4"/>
        <item x="7"/>
        <item x="5"/>
        <item x="9"/>
        <item x="11"/>
        <item x="12"/>
        <item x="16"/>
        <item x="14"/>
        <item x="8"/>
        <item x="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4">
        <item x="4"/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3"/>
        <item x="12"/>
        <item x="17"/>
        <item x="0"/>
        <item x="10"/>
        <item x="19"/>
        <item x="22"/>
        <item t="default"/>
      </items>
    </pivotField>
    <pivotField dataField="1" showAll="0">
      <items count="23">
        <item x="10"/>
        <item x="15"/>
        <item x="3"/>
        <item x="19"/>
        <item x="2"/>
        <item x="20"/>
        <item x="17"/>
        <item x="8"/>
        <item x="1"/>
        <item x="7"/>
        <item x="5"/>
        <item x="6"/>
        <item x="13"/>
        <item x="4"/>
        <item x="14"/>
        <item x="11"/>
        <item x="12"/>
        <item x="16"/>
        <item x="0"/>
        <item x="9"/>
        <item x="18"/>
        <item x="21"/>
        <item t="default"/>
      </items>
    </pivotField>
    <pivotField dataField="1" showAll="0">
      <items count="24"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2"/>
        <item x="13"/>
        <item x="17"/>
        <item x="0"/>
        <item x="10"/>
        <item x="4"/>
        <item x="19"/>
        <item x="22"/>
        <item t="default"/>
      </items>
    </pivotField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ue Profit" fld="19" baseField="0" baseItem="0"/>
    <dataField name="Sum of  Cost " fld="17" baseField="0" baseItem="0"/>
    <dataField name="Sum of Revenue" fld="1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27DA5-09CB-9146-A542-FB0829F8D32D}" name="PivotTable14" cacheId="4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2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17"/>
        <item x="13"/>
        <item x="4"/>
        <item x="1"/>
        <item x="0"/>
        <item x="6"/>
        <item x="5"/>
        <item x="15"/>
        <item x="7"/>
        <item x="3"/>
        <item x="2"/>
        <item x="12"/>
        <item x="10"/>
        <item x="16"/>
        <item x="18"/>
        <item x="14"/>
        <item x="8"/>
        <item x="9"/>
        <item x="19"/>
        <item t="default"/>
      </items>
    </pivotField>
    <pivotField showAll="0"/>
    <pivotField showAll="0"/>
    <pivotField showAll="0"/>
    <pivotField showAll="0"/>
    <pivotField dataField="1" showAll="0">
      <items count="24">
        <item x="4"/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3"/>
        <item x="12"/>
        <item x="17"/>
        <item x="0"/>
        <item x="10"/>
        <item x="19"/>
        <item x="22"/>
        <item t="default"/>
      </items>
    </pivotField>
    <pivotField dataField="1" showAll="0">
      <items count="23">
        <item x="10"/>
        <item x="15"/>
        <item x="3"/>
        <item x="19"/>
        <item x="2"/>
        <item x="20"/>
        <item x="17"/>
        <item x="8"/>
        <item x="1"/>
        <item x="7"/>
        <item x="5"/>
        <item x="6"/>
        <item x="13"/>
        <item x="4"/>
        <item x="14"/>
        <item x="11"/>
        <item x="12"/>
        <item x="16"/>
        <item x="0"/>
        <item x="9"/>
        <item x="18"/>
        <item x="21"/>
        <item t="default"/>
      </items>
    </pivotField>
    <pivotField dataField="1" showAll="0">
      <items count="24"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2"/>
        <item x="13"/>
        <item x="17"/>
        <item x="0"/>
        <item x="10"/>
        <item x="4"/>
        <item x="19"/>
        <item x="22"/>
        <item t="default"/>
      </items>
    </pivotField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ue Profit" fld="19" baseField="0" baseItem="0"/>
    <dataField name="Sum of Revenue" fld="18" baseField="0" baseItem="0"/>
    <dataField name="Sum of  Cost 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76147-E898-1C44-9CC0-319BBC7FE21A}" name="PivotTable15" cacheId="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E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21">
        <item x="11"/>
        <item x="17"/>
        <item x="13"/>
        <item x="4"/>
        <item x="1"/>
        <item x="0"/>
        <item x="6"/>
        <item x="5"/>
        <item x="15"/>
        <item x="7"/>
        <item x="3"/>
        <item x="2"/>
        <item x="12"/>
        <item x="10"/>
        <item x="16"/>
        <item x="18"/>
        <item x="14"/>
        <item x="8"/>
        <item x="9"/>
        <item x="19"/>
        <item t="default"/>
      </items>
    </pivotField>
    <pivotField showAll="0"/>
    <pivotField showAll="0"/>
    <pivotField showAll="0"/>
    <pivotField showAll="0"/>
    <pivotField dataField="1" showAll="0">
      <items count="24">
        <item x="4"/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3"/>
        <item x="12"/>
        <item x="17"/>
        <item x="0"/>
        <item x="10"/>
        <item x="19"/>
        <item x="22"/>
        <item t="default"/>
      </items>
    </pivotField>
    <pivotField dataField="1" showAll="0">
      <items count="23">
        <item x="10"/>
        <item x="15"/>
        <item x="3"/>
        <item x="19"/>
        <item x="2"/>
        <item x="20"/>
        <item x="17"/>
        <item x="8"/>
        <item x="1"/>
        <item x="7"/>
        <item x="5"/>
        <item x="6"/>
        <item x="13"/>
        <item x="4"/>
        <item x="14"/>
        <item x="11"/>
        <item x="12"/>
        <item x="16"/>
        <item x="0"/>
        <item x="9"/>
        <item x="18"/>
        <item x="21"/>
        <item t="default"/>
      </items>
    </pivotField>
    <pivotField dataField="1" showAll="0">
      <items count="24">
        <item x="11"/>
        <item x="16"/>
        <item x="3"/>
        <item x="20"/>
        <item x="2"/>
        <item x="21"/>
        <item x="18"/>
        <item x="9"/>
        <item x="1"/>
        <item x="7"/>
        <item x="5"/>
        <item x="6"/>
        <item x="14"/>
        <item x="8"/>
        <item x="15"/>
        <item x="12"/>
        <item x="13"/>
        <item x="17"/>
        <item x="0"/>
        <item x="10"/>
        <item x="4"/>
        <item x="19"/>
        <item x="22"/>
        <item t="default"/>
      </items>
    </pivotField>
    <pivotField dataField="1" showAll="0">
      <items count="23">
        <item x="18"/>
        <item x="10"/>
        <item x="12"/>
        <item x="0"/>
        <item x="16"/>
        <item x="13"/>
        <item x="14"/>
        <item x="8"/>
        <item x="6"/>
        <item x="7"/>
        <item x="5"/>
        <item x="1"/>
        <item x="9"/>
        <item x="17"/>
        <item x="20"/>
        <item x="2"/>
        <item x="19"/>
        <item x="3"/>
        <item x="15"/>
        <item x="11"/>
        <item x="4"/>
        <item x="21"/>
        <item t="default"/>
      </items>
    </pivotField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rue Profit" fld="19" baseField="0" baseItem="0"/>
    <dataField name="Sum of Revenue" fld="18" baseField="0" baseItem="0"/>
    <dataField name="Sum of  Cost " fld="17" baseField="0" baseItem="0"/>
    <dataField name="Sum of Cost Margins" fld="2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BB61A-0D1E-6849-AED0-30595695940A}" name="PivotTable16" cacheId="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3">
        <item x="10"/>
        <item x="15"/>
        <item x="3"/>
        <item x="19"/>
        <item x="2"/>
        <item x="20"/>
        <item x="17"/>
        <item x="8"/>
        <item x="1"/>
        <item x="7"/>
        <item x="5"/>
        <item x="6"/>
        <item x="13"/>
        <item x="4"/>
        <item x="14"/>
        <item x="11"/>
        <item x="12"/>
        <item x="16"/>
        <item x="0"/>
        <item x="9"/>
        <item x="18"/>
        <item x="21"/>
        <item t="default"/>
      </items>
    </pivotField>
    <pivotField showAll="0"/>
    <pivotField showAll="0"/>
  </pivotFields>
  <rowFields count="2">
    <field x="7"/>
    <field x="6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Sum of Revenu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F0BF-6AA6-6845-A494-0E4CE2CA3736}">
  <dimension ref="A3:K24"/>
  <sheetViews>
    <sheetView workbookViewId="0">
      <selection activeCell="B24" sqref="B24"/>
    </sheetView>
  </sheetViews>
  <sheetFormatPr baseColWidth="10" defaultRowHeight="15" x14ac:dyDescent="0.2"/>
  <cols>
    <col min="1" max="1" width="17.1640625" bestFit="1" customWidth="1"/>
    <col min="2" max="2" width="14.83203125" bestFit="1" customWidth="1"/>
    <col min="3" max="3" width="17.33203125" bestFit="1" customWidth="1"/>
    <col min="4" max="4" width="10" bestFit="1" customWidth="1"/>
    <col min="5" max="5" width="6.33203125" bestFit="1" customWidth="1"/>
    <col min="6" max="6" width="16.83203125" bestFit="1" customWidth="1"/>
    <col min="7" max="7" width="17.33203125" bestFit="1" customWidth="1"/>
    <col min="8" max="8" width="10" bestFit="1" customWidth="1"/>
    <col min="9" max="9" width="6.33203125" bestFit="1" customWidth="1"/>
    <col min="10" max="10" width="17.83203125" bestFit="1" customWidth="1"/>
    <col min="11" max="11" width="21" bestFit="1" customWidth="1"/>
    <col min="12" max="12" width="13.5" bestFit="1" customWidth="1"/>
    <col min="13" max="13" width="10" bestFit="1" customWidth="1"/>
    <col min="14" max="14" width="16.83203125" bestFit="1" customWidth="1"/>
    <col min="15" max="15" width="10" bestFit="1" customWidth="1"/>
    <col min="16" max="16" width="14.83203125" bestFit="1" customWidth="1"/>
    <col min="17" max="17" width="18.1640625" bestFit="1" customWidth="1"/>
    <col min="18" max="19" width="17.33203125" bestFit="1" customWidth="1"/>
    <col min="20" max="20" width="14.83203125" bestFit="1" customWidth="1"/>
    <col min="21" max="21" width="18.1640625" bestFit="1" customWidth="1"/>
    <col min="22" max="22" width="13.5" bestFit="1" customWidth="1"/>
    <col min="23" max="23" width="16.83203125" bestFit="1" customWidth="1"/>
    <col min="24" max="24" width="14.83203125" bestFit="1" customWidth="1"/>
    <col min="25" max="25" width="18.1640625" bestFit="1" customWidth="1"/>
    <col min="26" max="26" width="13.5" bestFit="1" customWidth="1"/>
    <col min="27" max="27" width="17.33203125" bestFit="1" customWidth="1"/>
    <col min="28" max="28" width="10" bestFit="1" customWidth="1"/>
    <col min="29" max="29" width="16.83203125" bestFit="1" customWidth="1"/>
    <col min="30" max="30" width="17.33203125" bestFit="1" customWidth="1"/>
    <col min="31" max="31" width="10" bestFit="1" customWidth="1"/>
    <col min="32" max="32" width="14.83203125" bestFit="1" customWidth="1"/>
    <col min="33" max="33" width="18.1640625" bestFit="1" customWidth="1"/>
    <col min="34" max="34" width="13.5" bestFit="1" customWidth="1"/>
    <col min="35" max="35" width="17.33203125" bestFit="1" customWidth="1"/>
    <col min="36" max="36" width="16.83203125" bestFit="1" customWidth="1"/>
    <col min="37" max="37" width="17.33203125" bestFit="1" customWidth="1"/>
    <col min="38" max="38" width="14.83203125" bestFit="1" customWidth="1"/>
    <col min="39" max="39" width="18.1640625" bestFit="1" customWidth="1"/>
    <col min="40" max="40" width="13.5" bestFit="1" customWidth="1"/>
    <col min="41" max="41" width="17.33203125" bestFit="1" customWidth="1"/>
    <col min="42" max="42" width="10" bestFit="1" customWidth="1"/>
    <col min="43" max="43" width="16.83203125" bestFit="1" customWidth="1"/>
    <col min="44" max="44" width="17.33203125" bestFit="1" customWidth="1"/>
    <col min="45" max="45" width="10" bestFit="1" customWidth="1"/>
    <col min="46" max="46" width="14.83203125" bestFit="1" customWidth="1"/>
    <col min="47" max="47" width="18.1640625" bestFit="1" customWidth="1"/>
    <col min="48" max="48" width="13.5" bestFit="1" customWidth="1"/>
    <col min="49" max="49" width="17.33203125" bestFit="1" customWidth="1"/>
    <col min="50" max="50" width="16.83203125" bestFit="1" customWidth="1"/>
    <col min="51" max="51" width="17.33203125" bestFit="1" customWidth="1"/>
    <col min="52" max="52" width="14.83203125" bestFit="1" customWidth="1"/>
    <col min="53" max="53" width="18.1640625" bestFit="1" customWidth="1"/>
    <col min="54" max="54" width="13.5" bestFit="1" customWidth="1"/>
    <col min="55" max="55" width="17.33203125" bestFit="1" customWidth="1"/>
    <col min="56" max="56" width="16.83203125" bestFit="1" customWidth="1"/>
    <col min="57" max="57" width="17.33203125" bestFit="1" customWidth="1"/>
    <col min="58" max="58" width="15.83203125" bestFit="1" customWidth="1"/>
    <col min="59" max="59" width="19.1640625" bestFit="1" customWidth="1"/>
    <col min="60" max="60" width="13.5" bestFit="1" customWidth="1"/>
    <col min="61" max="61" width="17.33203125" bestFit="1" customWidth="1"/>
    <col min="62" max="62" width="10" bestFit="1" customWidth="1"/>
    <col min="63" max="63" width="16.83203125" bestFit="1" customWidth="1"/>
    <col min="64" max="64" width="17.33203125" bestFit="1" customWidth="1"/>
    <col min="65" max="65" width="10" bestFit="1" customWidth="1"/>
    <col min="66" max="66" width="15.83203125" bestFit="1" customWidth="1"/>
    <col min="67" max="67" width="19.1640625" bestFit="1" customWidth="1"/>
    <col min="68" max="68" width="13.5" bestFit="1" customWidth="1"/>
    <col min="69" max="69" width="17.33203125" bestFit="1" customWidth="1"/>
    <col min="70" max="70" width="16.83203125" bestFit="1" customWidth="1"/>
    <col min="71" max="71" width="17.33203125" bestFit="1" customWidth="1"/>
    <col min="72" max="72" width="15.83203125" bestFit="1" customWidth="1"/>
    <col min="73" max="73" width="19.1640625" bestFit="1" customWidth="1"/>
    <col min="74" max="74" width="13.5" bestFit="1" customWidth="1"/>
    <col min="75" max="75" width="17.33203125" bestFit="1" customWidth="1"/>
    <col min="76" max="76" width="16.83203125" bestFit="1" customWidth="1"/>
    <col min="77" max="77" width="17.33203125" bestFit="1" customWidth="1"/>
    <col min="78" max="78" width="15.83203125" bestFit="1" customWidth="1"/>
    <col min="79" max="79" width="19.1640625" bestFit="1" customWidth="1"/>
    <col min="80" max="81" width="17.33203125" bestFit="1" customWidth="1"/>
    <col min="82" max="82" width="15.83203125" bestFit="1" customWidth="1"/>
    <col min="83" max="83" width="19.1640625" bestFit="1" customWidth="1"/>
    <col min="84" max="85" width="17.33203125" bestFit="1" customWidth="1"/>
    <col min="86" max="86" width="15.83203125" bestFit="1" customWidth="1"/>
    <col min="87" max="87" width="19.1640625" bestFit="1" customWidth="1"/>
    <col min="88" max="88" width="13.5" bestFit="1" customWidth="1"/>
    <col min="89" max="89" width="17.33203125" bestFit="1" customWidth="1"/>
    <col min="90" max="90" width="16.83203125" bestFit="1" customWidth="1"/>
    <col min="91" max="91" width="17.33203125" bestFit="1" customWidth="1"/>
    <col min="92" max="92" width="15.83203125" bestFit="1" customWidth="1"/>
    <col min="93" max="93" width="19.1640625" bestFit="1" customWidth="1"/>
    <col min="94" max="94" width="13.5" bestFit="1" customWidth="1"/>
    <col min="95" max="95" width="17.33203125" bestFit="1" customWidth="1"/>
    <col min="96" max="96" width="16.83203125" bestFit="1" customWidth="1"/>
    <col min="97" max="97" width="17.33203125" bestFit="1" customWidth="1"/>
    <col min="98" max="98" width="15.83203125" bestFit="1" customWidth="1"/>
    <col min="99" max="99" width="19.1640625" bestFit="1" customWidth="1"/>
    <col min="100" max="100" width="13.5" bestFit="1" customWidth="1"/>
    <col min="101" max="101" width="17.33203125" bestFit="1" customWidth="1"/>
    <col min="102" max="102" width="10" bestFit="1" customWidth="1"/>
    <col min="103" max="103" width="16.83203125" bestFit="1" customWidth="1"/>
    <col min="104" max="104" width="17.33203125" bestFit="1" customWidth="1"/>
    <col min="105" max="105" width="10" bestFit="1" customWidth="1"/>
    <col min="106" max="106" width="15.83203125" bestFit="1" customWidth="1"/>
    <col min="107" max="107" width="19.1640625" bestFit="1" customWidth="1"/>
    <col min="108" max="108" width="13.5" bestFit="1" customWidth="1"/>
    <col min="109" max="109" width="17.33203125" bestFit="1" customWidth="1"/>
    <col min="110" max="110" width="10" bestFit="1" customWidth="1"/>
    <col min="111" max="111" width="16.83203125" bestFit="1" customWidth="1"/>
    <col min="112" max="112" width="17.33203125" bestFit="1" customWidth="1"/>
    <col min="113" max="113" width="10" bestFit="1" customWidth="1"/>
    <col min="114" max="114" width="15.83203125" bestFit="1" customWidth="1"/>
    <col min="115" max="115" width="19.1640625" bestFit="1" customWidth="1"/>
    <col min="116" max="116" width="13.5" bestFit="1" customWidth="1"/>
    <col min="117" max="117" width="17.33203125" bestFit="1" customWidth="1"/>
    <col min="118" max="118" width="16.83203125" bestFit="1" customWidth="1"/>
    <col min="119" max="119" width="17.33203125" bestFit="1" customWidth="1"/>
    <col min="120" max="120" width="15.83203125" bestFit="1" customWidth="1"/>
    <col min="121" max="121" width="19.1640625" bestFit="1" customWidth="1"/>
    <col min="122" max="122" width="17.33203125" bestFit="1" customWidth="1"/>
    <col min="123" max="123" width="10" bestFit="1" customWidth="1"/>
    <col min="124" max="124" width="17.33203125" bestFit="1" customWidth="1"/>
    <col min="125" max="125" width="10" bestFit="1" customWidth="1"/>
    <col min="126" max="126" width="15.83203125" bestFit="1" customWidth="1"/>
    <col min="127" max="127" width="19.1640625" bestFit="1" customWidth="1"/>
    <col min="128" max="128" width="13.5" bestFit="1" customWidth="1"/>
    <col min="129" max="129" width="17.33203125" bestFit="1" customWidth="1"/>
    <col min="130" max="130" width="10" bestFit="1" customWidth="1"/>
    <col min="131" max="131" width="16.83203125" bestFit="1" customWidth="1"/>
    <col min="132" max="132" width="17.33203125" bestFit="1" customWidth="1"/>
    <col min="133" max="133" width="10" bestFit="1" customWidth="1"/>
    <col min="134" max="134" width="15.83203125" bestFit="1" customWidth="1"/>
    <col min="135" max="135" width="19.1640625" bestFit="1" customWidth="1"/>
    <col min="136" max="136" width="13.5" bestFit="1" customWidth="1"/>
    <col min="137" max="137" width="17.33203125" bestFit="1" customWidth="1"/>
    <col min="138" max="138" width="16.83203125" bestFit="1" customWidth="1"/>
    <col min="139" max="139" width="17.33203125" bestFit="1" customWidth="1"/>
    <col min="140" max="140" width="15.83203125" bestFit="1" customWidth="1"/>
    <col min="141" max="141" width="19.1640625" bestFit="1" customWidth="1"/>
    <col min="142" max="142" width="13.5" bestFit="1" customWidth="1"/>
    <col min="143" max="143" width="16.83203125" bestFit="1" customWidth="1"/>
    <col min="144" max="144" width="15.83203125" bestFit="1" customWidth="1"/>
    <col min="145" max="145" width="19.1640625" bestFit="1" customWidth="1"/>
    <col min="146" max="146" width="13.5" bestFit="1" customWidth="1"/>
    <col min="147" max="147" width="16.83203125" bestFit="1" customWidth="1"/>
    <col min="148" max="148" width="19.1640625" bestFit="1" customWidth="1"/>
    <col min="149" max="149" width="22.5" bestFit="1" customWidth="1"/>
    <col min="150" max="150" width="17.83203125" bestFit="1" customWidth="1"/>
    <col min="151" max="151" width="21" bestFit="1" customWidth="1"/>
  </cols>
  <sheetData>
    <row r="3" spans="1:11" x14ac:dyDescent="0.2">
      <c r="B3" s="10" t="s">
        <v>168</v>
      </c>
    </row>
    <row r="4" spans="1:11" x14ac:dyDescent="0.2">
      <c r="B4" t="s">
        <v>167</v>
      </c>
      <c r="F4" t="s">
        <v>174</v>
      </c>
      <c r="J4" t="s">
        <v>172</v>
      </c>
      <c r="K4" t="s">
        <v>173</v>
      </c>
    </row>
    <row r="5" spans="1:11" x14ac:dyDescent="0.2">
      <c r="A5" s="10" t="s">
        <v>169</v>
      </c>
      <c r="B5" t="s">
        <v>21</v>
      </c>
      <c r="C5" t="s">
        <v>35</v>
      </c>
      <c r="D5" t="s">
        <v>41</v>
      </c>
      <c r="E5" t="s">
        <v>170</v>
      </c>
      <c r="F5" t="s">
        <v>21</v>
      </c>
      <c r="G5" t="s">
        <v>35</v>
      </c>
      <c r="H5" t="s">
        <v>41</v>
      </c>
      <c r="I5" t="s">
        <v>170</v>
      </c>
    </row>
    <row r="6" spans="1:11" x14ac:dyDescent="0.2">
      <c r="A6" s="11" t="s">
        <v>56</v>
      </c>
      <c r="B6" s="12"/>
      <c r="C6" s="12">
        <v>20080</v>
      </c>
      <c r="D6" s="12"/>
      <c r="E6" s="12"/>
      <c r="F6" s="12"/>
      <c r="G6" s="12">
        <v>6</v>
      </c>
      <c r="H6" s="12"/>
      <c r="I6" s="12"/>
      <c r="J6" s="12">
        <v>20080</v>
      </c>
      <c r="K6" s="12">
        <v>6</v>
      </c>
    </row>
    <row r="7" spans="1:11" x14ac:dyDescent="0.2">
      <c r="A7" s="11" t="s">
        <v>24</v>
      </c>
      <c r="B7" s="12">
        <v>62183</v>
      </c>
      <c r="C7" s="12">
        <v>12821</v>
      </c>
      <c r="D7" s="12"/>
      <c r="E7" s="12"/>
      <c r="F7" s="12">
        <v>15</v>
      </c>
      <c r="G7" s="12">
        <v>5</v>
      </c>
      <c r="H7" s="12"/>
      <c r="I7" s="12"/>
      <c r="J7" s="12">
        <v>75004</v>
      </c>
      <c r="K7" s="12">
        <v>20</v>
      </c>
    </row>
    <row r="8" spans="1:11" x14ac:dyDescent="0.2">
      <c r="A8" s="11" t="s">
        <v>30</v>
      </c>
      <c r="B8" s="12">
        <v>9230</v>
      </c>
      <c r="C8" s="12">
        <v>4602</v>
      </c>
      <c r="D8" s="12">
        <v>6140</v>
      </c>
      <c r="E8" s="12"/>
      <c r="F8" s="12">
        <v>4</v>
      </c>
      <c r="G8" s="12">
        <v>2</v>
      </c>
      <c r="H8" s="12">
        <v>3</v>
      </c>
      <c r="I8" s="12"/>
      <c r="J8" s="12">
        <v>19972</v>
      </c>
      <c r="K8" s="12">
        <v>9</v>
      </c>
    </row>
    <row r="9" spans="1:11" x14ac:dyDescent="0.2">
      <c r="A9" s="11" t="s">
        <v>72</v>
      </c>
      <c r="B9" s="12">
        <v>2320</v>
      </c>
      <c r="C9" s="12"/>
      <c r="D9" s="12"/>
      <c r="E9" s="12"/>
      <c r="F9" s="12">
        <v>1</v>
      </c>
      <c r="G9" s="12"/>
      <c r="H9" s="12"/>
      <c r="I9" s="12"/>
      <c r="J9" s="12">
        <v>2320</v>
      </c>
      <c r="K9" s="12">
        <v>1</v>
      </c>
    </row>
    <row r="10" spans="1:11" x14ac:dyDescent="0.2">
      <c r="A10" s="11" t="s">
        <v>131</v>
      </c>
      <c r="B10" s="12">
        <v>6910</v>
      </c>
      <c r="C10" s="12"/>
      <c r="D10" s="12"/>
      <c r="E10" s="12"/>
      <c r="F10" s="12">
        <v>2</v>
      </c>
      <c r="G10" s="12"/>
      <c r="H10" s="12"/>
      <c r="I10" s="12"/>
      <c r="J10" s="12">
        <v>6910</v>
      </c>
      <c r="K10" s="12">
        <v>2</v>
      </c>
    </row>
    <row r="11" spans="1:11" x14ac:dyDescent="0.2">
      <c r="A11" s="11" t="s">
        <v>37</v>
      </c>
      <c r="B11" s="12">
        <v>26848</v>
      </c>
      <c r="C11" s="12">
        <v>13794</v>
      </c>
      <c r="D11" s="12">
        <v>2825</v>
      </c>
      <c r="E11" s="12"/>
      <c r="F11" s="12">
        <v>7</v>
      </c>
      <c r="G11" s="12">
        <v>5</v>
      </c>
      <c r="H11" s="12">
        <v>2</v>
      </c>
      <c r="I11" s="12"/>
      <c r="J11" s="12">
        <v>43467</v>
      </c>
      <c r="K11" s="12">
        <v>14</v>
      </c>
    </row>
    <row r="12" spans="1:11" x14ac:dyDescent="0.2">
      <c r="A12" s="11" t="s">
        <v>119</v>
      </c>
      <c r="B12" s="12"/>
      <c r="C12" s="12"/>
      <c r="D12" s="12">
        <v>9280</v>
      </c>
      <c r="E12" s="12"/>
      <c r="F12" s="12"/>
      <c r="G12" s="12"/>
      <c r="H12" s="12">
        <v>1</v>
      </c>
      <c r="I12" s="12"/>
      <c r="J12" s="12">
        <v>9280</v>
      </c>
      <c r="K12" s="12">
        <v>1</v>
      </c>
    </row>
    <row r="13" spans="1:11" x14ac:dyDescent="0.2">
      <c r="A13" s="11" t="s">
        <v>48</v>
      </c>
      <c r="B13" s="12">
        <v>20780</v>
      </c>
      <c r="C13" s="12"/>
      <c r="D13" s="12"/>
      <c r="E13" s="12"/>
      <c r="F13" s="12">
        <v>3</v>
      </c>
      <c r="G13" s="12"/>
      <c r="H13" s="12"/>
      <c r="I13" s="12"/>
      <c r="J13" s="12">
        <v>20780</v>
      </c>
      <c r="K13" s="12">
        <v>3</v>
      </c>
    </row>
    <row r="14" spans="1:11" x14ac:dyDescent="0.2">
      <c r="A14" s="11" t="s">
        <v>66</v>
      </c>
      <c r="B14" s="12">
        <v>27270</v>
      </c>
      <c r="C14" s="12">
        <v>2320</v>
      </c>
      <c r="D14" s="12"/>
      <c r="E14" s="12"/>
      <c r="F14" s="12">
        <v>3</v>
      </c>
      <c r="G14" s="12">
        <v>1</v>
      </c>
      <c r="H14" s="12"/>
      <c r="I14" s="12"/>
      <c r="J14" s="12">
        <v>29590</v>
      </c>
      <c r="K14" s="12">
        <v>4</v>
      </c>
    </row>
    <row r="15" spans="1:11" x14ac:dyDescent="0.2">
      <c r="A15" s="11" t="s">
        <v>50</v>
      </c>
      <c r="B15" s="12">
        <v>32180</v>
      </c>
      <c r="C15" s="12">
        <v>6960</v>
      </c>
      <c r="D15" s="12"/>
      <c r="E15" s="12"/>
      <c r="F15" s="12">
        <v>5</v>
      </c>
      <c r="G15" s="12">
        <v>1</v>
      </c>
      <c r="H15" s="12"/>
      <c r="I15" s="12"/>
      <c r="J15" s="12">
        <v>39140</v>
      </c>
      <c r="K15" s="12">
        <v>6</v>
      </c>
    </row>
    <row r="16" spans="1:11" x14ac:dyDescent="0.2">
      <c r="A16" s="11" t="s">
        <v>83</v>
      </c>
      <c r="B16" s="12"/>
      <c r="C16" s="12">
        <v>13770</v>
      </c>
      <c r="D16" s="12">
        <v>6885</v>
      </c>
      <c r="E16" s="12"/>
      <c r="F16" s="12"/>
      <c r="G16" s="12">
        <v>3</v>
      </c>
      <c r="H16" s="12">
        <v>1</v>
      </c>
      <c r="I16" s="12"/>
      <c r="J16" s="12">
        <v>20655</v>
      </c>
      <c r="K16" s="12">
        <v>4</v>
      </c>
    </row>
    <row r="17" spans="1:11" x14ac:dyDescent="0.2">
      <c r="A17" s="11" t="s">
        <v>105</v>
      </c>
      <c r="B17" s="12"/>
      <c r="C17" s="12">
        <v>2320</v>
      </c>
      <c r="D17" s="12"/>
      <c r="E17" s="12"/>
      <c r="F17" s="12"/>
      <c r="G17" s="12">
        <v>1</v>
      </c>
      <c r="H17" s="12"/>
      <c r="I17" s="12"/>
      <c r="J17" s="12">
        <v>2320</v>
      </c>
      <c r="K17" s="12">
        <v>1</v>
      </c>
    </row>
    <row r="18" spans="1:11" x14ac:dyDescent="0.2">
      <c r="A18" s="11" t="s">
        <v>113</v>
      </c>
      <c r="B18" s="12"/>
      <c r="C18" s="12"/>
      <c r="D18" s="12">
        <v>6960</v>
      </c>
      <c r="E18" s="12"/>
      <c r="F18" s="12"/>
      <c r="G18" s="12"/>
      <c r="H18" s="12">
        <v>1</v>
      </c>
      <c r="I18" s="12"/>
      <c r="J18" s="12">
        <v>6960</v>
      </c>
      <c r="K18" s="12">
        <v>1</v>
      </c>
    </row>
    <row r="19" spans="1:11" x14ac:dyDescent="0.2">
      <c r="A19" s="11" t="s">
        <v>140</v>
      </c>
      <c r="B19" s="12"/>
      <c r="C19" s="12">
        <v>6960</v>
      </c>
      <c r="D19" s="12"/>
      <c r="E19" s="12"/>
      <c r="F19" s="12"/>
      <c r="G19" s="12">
        <v>1</v>
      </c>
      <c r="H19" s="12"/>
      <c r="I19" s="12"/>
      <c r="J19" s="12">
        <v>6960</v>
      </c>
      <c r="K19" s="12">
        <v>1</v>
      </c>
    </row>
    <row r="20" spans="1:11" x14ac:dyDescent="0.2">
      <c r="A20" s="11" t="s">
        <v>129</v>
      </c>
      <c r="B20" s="12"/>
      <c r="C20" s="12"/>
      <c r="D20" s="12">
        <v>1080</v>
      </c>
      <c r="E20" s="12"/>
      <c r="F20" s="12"/>
      <c r="G20" s="12"/>
      <c r="H20" s="12">
        <v>1</v>
      </c>
      <c r="I20" s="12"/>
      <c r="J20" s="12">
        <v>1080</v>
      </c>
      <c r="K20" s="12">
        <v>1</v>
      </c>
    </row>
    <row r="21" spans="1:11" x14ac:dyDescent="0.2">
      <c r="A21" s="11" t="s">
        <v>69</v>
      </c>
      <c r="B21" s="12">
        <v>4640</v>
      </c>
      <c r="C21" s="12">
        <v>21019</v>
      </c>
      <c r="D21" s="12">
        <v>2160</v>
      </c>
      <c r="E21" s="12"/>
      <c r="F21" s="12">
        <v>2</v>
      </c>
      <c r="G21" s="12">
        <v>3</v>
      </c>
      <c r="H21" s="12">
        <v>1</v>
      </c>
      <c r="I21" s="12"/>
      <c r="J21" s="12">
        <v>27819</v>
      </c>
      <c r="K21" s="12">
        <v>6</v>
      </c>
    </row>
    <row r="22" spans="1:11" x14ac:dyDescent="0.2">
      <c r="A22" s="11" t="s">
        <v>44</v>
      </c>
      <c r="B22" s="12">
        <v>16190</v>
      </c>
      <c r="C22" s="12">
        <v>15000</v>
      </c>
      <c r="D22" s="12"/>
      <c r="E22" s="12"/>
      <c r="F22" s="12">
        <v>6</v>
      </c>
      <c r="G22" s="12">
        <v>3</v>
      </c>
      <c r="H22" s="12"/>
      <c r="I22" s="12"/>
      <c r="J22" s="12">
        <v>31190</v>
      </c>
      <c r="K22" s="12">
        <v>9</v>
      </c>
    </row>
    <row r="23" spans="1:11" x14ac:dyDescent="0.2">
      <c r="A23" s="11" t="s">
        <v>170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">
      <c r="A24" s="11" t="s">
        <v>171</v>
      </c>
      <c r="B24" s="12">
        <v>208551</v>
      </c>
      <c r="C24" s="12">
        <v>119646</v>
      </c>
      <c r="D24" s="12">
        <v>35330</v>
      </c>
      <c r="E24" s="12"/>
      <c r="F24" s="12">
        <v>48</v>
      </c>
      <c r="G24" s="12">
        <v>31</v>
      </c>
      <c r="H24" s="12">
        <v>10</v>
      </c>
      <c r="I24" s="12"/>
      <c r="J24" s="12">
        <v>363527</v>
      </c>
      <c r="K24" s="12">
        <v>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1087-E53E-7F4E-B5CC-77EF41E5F048}">
  <dimension ref="A3:D22"/>
  <sheetViews>
    <sheetView topLeftCell="E17" workbookViewId="0">
      <selection activeCell="B5" sqref="B5"/>
    </sheetView>
  </sheetViews>
  <sheetFormatPr baseColWidth="10" defaultRowHeight="15" x14ac:dyDescent="0.2"/>
  <cols>
    <col min="1" max="1" width="17.1640625" bestFit="1" customWidth="1"/>
    <col min="2" max="2" width="14.83203125" bestFit="1" customWidth="1"/>
    <col min="3" max="3" width="10.6640625" bestFit="1" customWidth="1"/>
    <col min="4" max="4" width="13.5" bestFit="1" customWidth="1"/>
    <col min="5" max="54" width="17.6640625" bestFit="1" customWidth="1"/>
    <col min="55" max="55" width="19.1640625" bestFit="1" customWidth="1"/>
    <col min="56" max="56" width="14.83203125" bestFit="1" customWidth="1"/>
    <col min="57" max="57" width="17.83203125" bestFit="1" customWidth="1"/>
  </cols>
  <sheetData>
    <row r="3" spans="1:4" x14ac:dyDescent="0.2">
      <c r="A3" s="10" t="s">
        <v>169</v>
      </c>
      <c r="B3" t="s">
        <v>175</v>
      </c>
      <c r="C3" t="s">
        <v>176</v>
      </c>
      <c r="D3" t="s">
        <v>167</v>
      </c>
    </row>
    <row r="4" spans="1:4" x14ac:dyDescent="0.2">
      <c r="A4" s="11" t="s">
        <v>56</v>
      </c>
      <c r="B4" s="12">
        <v>9123</v>
      </c>
      <c r="C4" s="12">
        <v>10957</v>
      </c>
      <c r="D4" s="12">
        <v>20080</v>
      </c>
    </row>
    <row r="5" spans="1:4" x14ac:dyDescent="0.2">
      <c r="A5" s="11" t="s">
        <v>24</v>
      </c>
      <c r="B5" s="12">
        <v>36583</v>
      </c>
      <c r="C5" s="12">
        <v>38421</v>
      </c>
      <c r="D5" s="12">
        <v>75004</v>
      </c>
    </row>
    <row r="6" spans="1:4" x14ac:dyDescent="0.2">
      <c r="A6" s="11" t="s">
        <v>30</v>
      </c>
      <c r="B6" s="12">
        <v>9072</v>
      </c>
      <c r="C6" s="12">
        <v>10900</v>
      </c>
      <c r="D6" s="12">
        <v>19972</v>
      </c>
    </row>
    <row r="7" spans="1:4" x14ac:dyDescent="0.2">
      <c r="A7" s="11" t="s">
        <v>72</v>
      </c>
      <c r="B7" s="12">
        <v>1054</v>
      </c>
      <c r="C7" s="12">
        <v>1266</v>
      </c>
      <c r="D7" s="12">
        <v>2320</v>
      </c>
    </row>
    <row r="8" spans="1:4" x14ac:dyDescent="0.2">
      <c r="A8" s="11" t="s">
        <v>131</v>
      </c>
      <c r="B8" s="12">
        <v>3140</v>
      </c>
      <c r="C8" s="12">
        <v>3770</v>
      </c>
      <c r="D8" s="12">
        <v>6910</v>
      </c>
    </row>
    <row r="9" spans="1:4" x14ac:dyDescent="0.2">
      <c r="A9" s="11" t="s">
        <v>37</v>
      </c>
      <c r="B9" s="12">
        <v>19751</v>
      </c>
      <c r="C9" s="12">
        <v>23716</v>
      </c>
      <c r="D9" s="12">
        <v>43467</v>
      </c>
    </row>
    <row r="10" spans="1:4" x14ac:dyDescent="0.2">
      <c r="A10" s="11" t="s">
        <v>119</v>
      </c>
      <c r="B10" s="12">
        <v>4216</v>
      </c>
      <c r="C10" s="12">
        <v>5064</v>
      </c>
      <c r="D10" s="12">
        <v>9280</v>
      </c>
    </row>
    <row r="11" spans="1:4" x14ac:dyDescent="0.2">
      <c r="A11" s="11" t="s">
        <v>48</v>
      </c>
      <c r="B11" s="12">
        <v>9442</v>
      </c>
      <c r="C11" s="12">
        <v>11338</v>
      </c>
      <c r="D11" s="12">
        <v>20780</v>
      </c>
    </row>
    <row r="12" spans="1:4" x14ac:dyDescent="0.2">
      <c r="A12" s="11" t="s">
        <v>66</v>
      </c>
      <c r="B12" s="12">
        <v>13220</v>
      </c>
      <c r="C12" s="12">
        <v>16370</v>
      </c>
      <c r="D12" s="12">
        <v>29590</v>
      </c>
    </row>
    <row r="13" spans="1:4" x14ac:dyDescent="0.2">
      <c r="A13" s="11" t="s">
        <v>50</v>
      </c>
      <c r="B13" s="12">
        <v>17786</v>
      </c>
      <c r="C13" s="12">
        <v>21354</v>
      </c>
      <c r="D13" s="12">
        <v>39140</v>
      </c>
    </row>
    <row r="14" spans="1:4" x14ac:dyDescent="0.2">
      <c r="A14" s="11" t="s">
        <v>83</v>
      </c>
      <c r="B14" s="12">
        <v>9387</v>
      </c>
      <c r="C14" s="12">
        <v>11268</v>
      </c>
      <c r="D14" s="12">
        <v>20655</v>
      </c>
    </row>
    <row r="15" spans="1:4" x14ac:dyDescent="0.2">
      <c r="A15" s="11" t="s">
        <v>105</v>
      </c>
      <c r="B15" s="12">
        <v>1054</v>
      </c>
      <c r="C15" s="12">
        <v>1266</v>
      </c>
      <c r="D15" s="12">
        <v>2320</v>
      </c>
    </row>
    <row r="16" spans="1:4" x14ac:dyDescent="0.2">
      <c r="A16" s="11" t="s">
        <v>113</v>
      </c>
      <c r="B16" s="12">
        <v>3162</v>
      </c>
      <c r="C16" s="12">
        <v>3798</v>
      </c>
      <c r="D16" s="12">
        <v>6960</v>
      </c>
    </row>
    <row r="17" spans="1:4" x14ac:dyDescent="0.2">
      <c r="A17" s="11" t="s">
        <v>140</v>
      </c>
      <c r="B17" s="12">
        <v>3162</v>
      </c>
      <c r="C17" s="12">
        <v>3798</v>
      </c>
      <c r="D17" s="12">
        <v>6960</v>
      </c>
    </row>
    <row r="18" spans="1:4" x14ac:dyDescent="0.2">
      <c r="A18" s="11" t="s">
        <v>129</v>
      </c>
      <c r="B18" s="12">
        <v>490</v>
      </c>
      <c r="C18" s="12">
        <v>590</v>
      </c>
      <c r="D18" s="12">
        <v>1080</v>
      </c>
    </row>
    <row r="19" spans="1:4" x14ac:dyDescent="0.2">
      <c r="A19" s="11" t="s">
        <v>69</v>
      </c>
      <c r="B19" s="12">
        <v>12299</v>
      </c>
      <c r="C19" s="12">
        <v>15520</v>
      </c>
      <c r="D19" s="12">
        <v>27819</v>
      </c>
    </row>
    <row r="20" spans="1:4" x14ac:dyDescent="0.2">
      <c r="A20" s="11" t="s">
        <v>44</v>
      </c>
      <c r="B20" s="12">
        <v>14114</v>
      </c>
      <c r="C20" s="12">
        <v>17076</v>
      </c>
      <c r="D20" s="12">
        <v>31190</v>
      </c>
    </row>
    <row r="21" spans="1:4" x14ac:dyDescent="0.2">
      <c r="A21" s="11" t="s">
        <v>170</v>
      </c>
      <c r="B21" s="12"/>
      <c r="C21" s="12"/>
      <c r="D21" s="12"/>
    </row>
    <row r="22" spans="1:4" x14ac:dyDescent="0.2">
      <c r="A22" s="11" t="s">
        <v>171</v>
      </c>
      <c r="B22" s="12">
        <v>167055</v>
      </c>
      <c r="C22" s="12">
        <v>196472</v>
      </c>
      <c r="D22" s="12">
        <v>363527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F611-8D73-DE4E-B6AF-A99173DC4262}">
  <dimension ref="A3:D24"/>
  <sheetViews>
    <sheetView workbookViewId="0">
      <selection activeCell="E12" sqref="E12"/>
    </sheetView>
  </sheetViews>
  <sheetFormatPr baseColWidth="10" defaultRowHeight="15" x14ac:dyDescent="0.2"/>
  <cols>
    <col min="1" max="1" width="22" bestFit="1" customWidth="1"/>
    <col min="2" max="2" width="14.83203125" bestFit="1" customWidth="1"/>
    <col min="3" max="3" width="13.5" bestFit="1" customWidth="1"/>
    <col min="4" max="4" width="10.6640625" bestFit="1" customWidth="1"/>
    <col min="5" max="60" width="22.33203125" bestFit="1" customWidth="1"/>
    <col min="61" max="61" width="19.1640625" bestFit="1" customWidth="1"/>
    <col min="62" max="62" width="17.83203125" bestFit="1" customWidth="1"/>
    <col min="63" max="63" width="14.83203125" bestFit="1" customWidth="1"/>
  </cols>
  <sheetData>
    <row r="3" spans="1:4" x14ac:dyDescent="0.2">
      <c r="A3" s="10" t="s">
        <v>169</v>
      </c>
      <c r="B3" t="s">
        <v>175</v>
      </c>
      <c r="C3" t="s">
        <v>167</v>
      </c>
      <c r="D3" t="s">
        <v>176</v>
      </c>
    </row>
    <row r="4" spans="1:4" x14ac:dyDescent="0.2">
      <c r="A4" s="11" t="s">
        <v>70</v>
      </c>
      <c r="B4" s="12">
        <v>8862</v>
      </c>
      <c r="C4" s="12">
        <v>20250</v>
      </c>
      <c r="D4" s="12">
        <v>11388</v>
      </c>
    </row>
    <row r="5" spans="1:4" x14ac:dyDescent="0.2">
      <c r="A5" s="11" t="s">
        <v>124</v>
      </c>
      <c r="B5" s="12">
        <v>5908</v>
      </c>
      <c r="C5" s="12">
        <v>13500</v>
      </c>
      <c r="D5" s="12">
        <v>7592</v>
      </c>
    </row>
    <row r="6" spans="1:4" x14ac:dyDescent="0.2">
      <c r="A6" s="11" t="s">
        <v>79</v>
      </c>
      <c r="B6" s="12">
        <v>1488</v>
      </c>
      <c r="C6" s="12">
        <v>3400</v>
      </c>
      <c r="D6" s="12">
        <v>1912</v>
      </c>
    </row>
    <row r="7" spans="1:4" x14ac:dyDescent="0.2">
      <c r="A7" s="11" t="s">
        <v>42</v>
      </c>
      <c r="B7" s="12">
        <v>28161</v>
      </c>
      <c r="C7" s="12">
        <v>61965</v>
      </c>
      <c r="D7" s="12">
        <v>33804</v>
      </c>
    </row>
    <row r="8" spans="1:4" x14ac:dyDescent="0.2">
      <c r="A8" s="11" t="s">
        <v>57</v>
      </c>
      <c r="B8" s="12">
        <v>16688</v>
      </c>
      <c r="C8" s="12">
        <v>36720</v>
      </c>
      <c r="D8" s="12">
        <v>20032</v>
      </c>
    </row>
    <row r="9" spans="1:4" x14ac:dyDescent="0.2">
      <c r="A9" s="11" t="s">
        <v>27</v>
      </c>
      <c r="B9" s="12">
        <v>35880</v>
      </c>
      <c r="C9" s="12">
        <v>73440</v>
      </c>
      <c r="D9" s="12">
        <v>37560</v>
      </c>
    </row>
    <row r="10" spans="1:4" x14ac:dyDescent="0.2">
      <c r="A10" s="11" t="s">
        <v>51</v>
      </c>
      <c r="B10" s="12">
        <v>26350</v>
      </c>
      <c r="C10" s="12">
        <v>58000</v>
      </c>
      <c r="D10" s="12">
        <v>31650</v>
      </c>
    </row>
    <row r="11" spans="1:4" x14ac:dyDescent="0.2">
      <c r="A11" s="11" t="s">
        <v>31</v>
      </c>
      <c r="B11" s="12">
        <v>15810</v>
      </c>
      <c r="C11" s="12">
        <v>34800</v>
      </c>
      <c r="D11" s="12">
        <v>18990</v>
      </c>
    </row>
    <row r="12" spans="1:4" x14ac:dyDescent="0.2">
      <c r="A12" s="11" t="s">
        <v>106</v>
      </c>
      <c r="B12" s="12">
        <v>10540</v>
      </c>
      <c r="C12" s="12">
        <v>23200</v>
      </c>
      <c r="D12" s="12">
        <v>12660</v>
      </c>
    </row>
    <row r="13" spans="1:4" x14ac:dyDescent="0.2">
      <c r="A13" s="11" t="s">
        <v>61</v>
      </c>
      <c r="B13" s="12">
        <v>2094</v>
      </c>
      <c r="C13" s="12">
        <v>4614</v>
      </c>
      <c r="D13" s="12">
        <v>2520</v>
      </c>
    </row>
    <row r="14" spans="1:4" x14ac:dyDescent="0.2">
      <c r="A14" s="11" t="s">
        <v>38</v>
      </c>
      <c r="B14" s="12">
        <v>3141</v>
      </c>
      <c r="C14" s="12">
        <v>6921</v>
      </c>
      <c r="D14" s="12">
        <v>3780</v>
      </c>
    </row>
    <row r="15" spans="1:4" x14ac:dyDescent="0.2">
      <c r="A15" s="11" t="s">
        <v>33</v>
      </c>
      <c r="B15" s="12">
        <v>4537</v>
      </c>
      <c r="C15" s="12">
        <v>9997</v>
      </c>
      <c r="D15" s="12">
        <v>5460</v>
      </c>
    </row>
    <row r="16" spans="1:4" x14ac:dyDescent="0.2">
      <c r="A16" s="11" t="s">
        <v>77</v>
      </c>
      <c r="B16" s="12">
        <v>735</v>
      </c>
      <c r="C16" s="12">
        <v>1620</v>
      </c>
      <c r="D16" s="12">
        <v>885</v>
      </c>
    </row>
    <row r="17" spans="1:4" x14ac:dyDescent="0.2">
      <c r="A17" s="11" t="s">
        <v>67</v>
      </c>
      <c r="B17" s="12">
        <v>490</v>
      </c>
      <c r="C17" s="12">
        <v>1080</v>
      </c>
      <c r="D17" s="12">
        <v>590</v>
      </c>
    </row>
    <row r="18" spans="1:4" x14ac:dyDescent="0.2">
      <c r="A18" s="11" t="s">
        <v>121</v>
      </c>
      <c r="B18" s="12">
        <v>980</v>
      </c>
      <c r="C18" s="12">
        <v>2160</v>
      </c>
      <c r="D18" s="12">
        <v>1180</v>
      </c>
    </row>
    <row r="19" spans="1:4" x14ac:dyDescent="0.2">
      <c r="A19" s="11" t="s">
        <v>136</v>
      </c>
      <c r="B19" s="12">
        <v>735</v>
      </c>
      <c r="C19" s="12">
        <v>1620</v>
      </c>
      <c r="D19" s="12">
        <v>885</v>
      </c>
    </row>
    <row r="20" spans="1:4" x14ac:dyDescent="0.2">
      <c r="A20" s="11" t="s">
        <v>95</v>
      </c>
      <c r="B20" s="12">
        <v>257</v>
      </c>
      <c r="C20" s="12">
        <v>565</v>
      </c>
      <c r="D20" s="12">
        <v>308</v>
      </c>
    </row>
    <row r="21" spans="1:4" x14ac:dyDescent="0.2">
      <c r="A21" s="11" t="s">
        <v>64</v>
      </c>
      <c r="B21" s="12">
        <v>2313</v>
      </c>
      <c r="C21" s="12">
        <v>5085</v>
      </c>
      <c r="D21" s="12">
        <v>2772</v>
      </c>
    </row>
    <row r="22" spans="1:4" x14ac:dyDescent="0.2">
      <c r="A22" s="11" t="s">
        <v>161</v>
      </c>
      <c r="B22" s="12">
        <v>2086</v>
      </c>
      <c r="C22" s="12">
        <v>4590</v>
      </c>
      <c r="D22" s="12">
        <v>2504</v>
      </c>
    </row>
    <row r="23" spans="1:4" x14ac:dyDescent="0.2">
      <c r="A23" s="11" t="s">
        <v>170</v>
      </c>
      <c r="B23" s="12"/>
      <c r="C23" s="12"/>
      <c r="D23" s="12"/>
    </row>
    <row r="24" spans="1:4" x14ac:dyDescent="0.2">
      <c r="A24" s="11" t="s">
        <v>171</v>
      </c>
      <c r="B24" s="12">
        <v>167055</v>
      </c>
      <c r="C24" s="12">
        <v>363527</v>
      </c>
      <c r="D24" s="12">
        <v>196472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852A-439A-7848-9CE2-6CD10C62216E}">
  <dimension ref="A3:E37"/>
  <sheetViews>
    <sheetView workbookViewId="0">
      <selection activeCell="C38" sqref="C38"/>
    </sheetView>
  </sheetViews>
  <sheetFormatPr baseColWidth="10" defaultRowHeight="15" x14ac:dyDescent="0.2"/>
  <cols>
    <col min="1" max="1" width="22" bestFit="1" customWidth="1"/>
    <col min="2" max="2" width="14.83203125" bestFit="1" customWidth="1"/>
    <col min="3" max="3" width="13.5" bestFit="1" customWidth="1"/>
    <col min="4" max="4" width="10.6640625" bestFit="1" customWidth="1"/>
    <col min="5" max="8" width="16.6640625" bestFit="1" customWidth="1"/>
    <col min="9" max="9" width="19.1640625" bestFit="1" customWidth="1"/>
    <col min="10" max="10" width="17.83203125" bestFit="1" customWidth="1"/>
    <col min="11" max="11" width="14.83203125" bestFit="1" customWidth="1"/>
    <col min="12" max="12" width="20.83203125" bestFit="1" customWidth="1"/>
    <col min="13" max="13" width="6.1640625" bestFit="1" customWidth="1"/>
    <col min="14" max="14" width="5.1640625" bestFit="1" customWidth="1"/>
    <col min="15" max="16" width="4.6640625" bestFit="1" customWidth="1"/>
    <col min="17" max="17" width="5.1640625" bestFit="1" customWidth="1"/>
    <col min="18" max="18" width="4.6640625" bestFit="1" customWidth="1"/>
    <col min="19" max="19" width="5.1640625" bestFit="1" customWidth="1"/>
    <col min="20" max="21" width="4.1640625" bestFit="1" customWidth="1"/>
    <col min="22" max="22" width="5.1640625" bestFit="1" customWidth="1"/>
    <col min="23" max="23" width="6.33203125" bestFit="1" customWidth="1"/>
    <col min="24" max="24" width="10" bestFit="1" customWidth="1"/>
  </cols>
  <sheetData>
    <row r="3" spans="1:5" x14ac:dyDescent="0.2">
      <c r="A3" s="10" t="s">
        <v>169</v>
      </c>
      <c r="B3" t="s">
        <v>175</v>
      </c>
      <c r="C3" t="s">
        <v>167</v>
      </c>
      <c r="D3" t="s">
        <v>176</v>
      </c>
      <c r="E3" t="s">
        <v>178</v>
      </c>
    </row>
    <row r="4" spans="1:5" x14ac:dyDescent="0.2">
      <c r="A4" s="11" t="s">
        <v>70</v>
      </c>
      <c r="B4" s="12">
        <v>8862</v>
      </c>
      <c r="C4" s="12">
        <v>20250</v>
      </c>
      <c r="D4" s="12">
        <v>11388</v>
      </c>
      <c r="E4" s="12">
        <v>-2526</v>
      </c>
    </row>
    <row r="5" spans="1:5" x14ac:dyDescent="0.2">
      <c r="A5" s="11" t="s">
        <v>124</v>
      </c>
      <c r="B5" s="12">
        <v>5908</v>
      </c>
      <c r="C5" s="12">
        <v>13500</v>
      </c>
      <c r="D5" s="12">
        <v>7592</v>
      </c>
      <c r="E5" s="12">
        <v>-1684</v>
      </c>
    </row>
    <row r="6" spans="1:5" x14ac:dyDescent="0.2">
      <c r="A6" s="11" t="s">
        <v>79</v>
      </c>
      <c r="B6" s="12">
        <v>1488</v>
      </c>
      <c r="C6" s="12">
        <v>3400</v>
      </c>
      <c r="D6" s="12">
        <v>1912</v>
      </c>
      <c r="E6" s="12">
        <v>-424</v>
      </c>
    </row>
    <row r="7" spans="1:5" x14ac:dyDescent="0.2">
      <c r="A7" s="11" t="s">
        <v>42</v>
      </c>
      <c r="B7" s="12">
        <v>28161</v>
      </c>
      <c r="C7" s="12">
        <v>61965</v>
      </c>
      <c r="D7" s="12">
        <v>33804</v>
      </c>
      <c r="E7" s="12">
        <v>-5643</v>
      </c>
    </row>
    <row r="8" spans="1:5" x14ac:dyDescent="0.2">
      <c r="A8" s="11" t="s">
        <v>57</v>
      </c>
      <c r="B8" s="12">
        <v>16688</v>
      </c>
      <c r="C8" s="12">
        <v>36720</v>
      </c>
      <c r="D8" s="12">
        <v>20032</v>
      </c>
      <c r="E8" s="12">
        <v>-3344</v>
      </c>
    </row>
    <row r="9" spans="1:5" x14ac:dyDescent="0.2">
      <c r="A9" s="11" t="s">
        <v>27</v>
      </c>
      <c r="B9" s="12">
        <v>35880</v>
      </c>
      <c r="C9" s="12">
        <v>73440</v>
      </c>
      <c r="D9" s="12">
        <v>37560</v>
      </c>
      <c r="E9" s="12">
        <v>-1680</v>
      </c>
    </row>
    <row r="10" spans="1:5" x14ac:dyDescent="0.2">
      <c r="A10" s="11" t="s">
        <v>51</v>
      </c>
      <c r="B10" s="12">
        <v>26350</v>
      </c>
      <c r="C10" s="12">
        <v>58000</v>
      </c>
      <c r="D10" s="12">
        <v>31650</v>
      </c>
      <c r="E10" s="12">
        <v>-5300</v>
      </c>
    </row>
    <row r="11" spans="1:5" x14ac:dyDescent="0.2">
      <c r="A11" s="11" t="s">
        <v>31</v>
      </c>
      <c r="B11" s="12">
        <v>15810</v>
      </c>
      <c r="C11" s="12">
        <v>34800</v>
      </c>
      <c r="D11" s="12">
        <v>18990</v>
      </c>
      <c r="E11" s="12">
        <v>-3180</v>
      </c>
    </row>
    <row r="12" spans="1:5" x14ac:dyDescent="0.2">
      <c r="A12" s="11" t="s">
        <v>106</v>
      </c>
      <c r="B12" s="12">
        <v>10540</v>
      </c>
      <c r="C12" s="12">
        <v>23200</v>
      </c>
      <c r="D12" s="12">
        <v>12660</v>
      </c>
      <c r="E12" s="12">
        <v>-2120</v>
      </c>
    </row>
    <row r="13" spans="1:5" x14ac:dyDescent="0.2">
      <c r="A13" s="11" t="s">
        <v>61</v>
      </c>
      <c r="B13" s="12">
        <v>2094</v>
      </c>
      <c r="C13" s="12">
        <v>4614</v>
      </c>
      <c r="D13" s="12">
        <v>2520</v>
      </c>
      <c r="E13" s="12">
        <v>-426</v>
      </c>
    </row>
    <row r="14" spans="1:5" x14ac:dyDescent="0.2">
      <c r="A14" s="11" t="s">
        <v>38</v>
      </c>
      <c r="B14" s="12">
        <v>3141</v>
      </c>
      <c r="C14" s="12">
        <v>6921</v>
      </c>
      <c r="D14" s="12">
        <v>3780</v>
      </c>
      <c r="E14" s="12">
        <v>-639</v>
      </c>
    </row>
    <row r="15" spans="1:5" x14ac:dyDescent="0.2">
      <c r="A15" s="11" t="s">
        <v>33</v>
      </c>
      <c r="B15" s="12">
        <v>4537</v>
      </c>
      <c r="C15" s="12">
        <v>9997</v>
      </c>
      <c r="D15" s="12">
        <v>5460</v>
      </c>
      <c r="E15" s="12">
        <v>-923</v>
      </c>
    </row>
    <row r="16" spans="1:5" x14ac:dyDescent="0.2">
      <c r="A16" s="11" t="s">
        <v>77</v>
      </c>
      <c r="B16" s="12">
        <v>735</v>
      </c>
      <c r="C16" s="12">
        <v>1620</v>
      </c>
      <c r="D16" s="12">
        <v>885</v>
      </c>
      <c r="E16" s="12">
        <v>-150</v>
      </c>
    </row>
    <row r="17" spans="1:5" x14ac:dyDescent="0.2">
      <c r="A17" s="11" t="s">
        <v>67</v>
      </c>
      <c r="B17" s="12">
        <v>490</v>
      </c>
      <c r="C17" s="12">
        <v>1080</v>
      </c>
      <c r="D17" s="12">
        <v>590</v>
      </c>
      <c r="E17" s="12">
        <v>-100</v>
      </c>
    </row>
    <row r="18" spans="1:5" x14ac:dyDescent="0.2">
      <c r="A18" s="11" t="s">
        <v>121</v>
      </c>
      <c r="B18" s="12">
        <v>980</v>
      </c>
      <c r="C18" s="12">
        <v>2160</v>
      </c>
      <c r="D18" s="12">
        <v>1180</v>
      </c>
      <c r="E18" s="12">
        <v>-200</v>
      </c>
    </row>
    <row r="19" spans="1:5" x14ac:dyDescent="0.2">
      <c r="A19" s="11" t="s">
        <v>136</v>
      </c>
      <c r="B19" s="12">
        <v>735</v>
      </c>
      <c r="C19" s="12">
        <v>1620</v>
      </c>
      <c r="D19" s="12">
        <v>885</v>
      </c>
      <c r="E19" s="12">
        <v>-150</v>
      </c>
    </row>
    <row r="20" spans="1:5" x14ac:dyDescent="0.2">
      <c r="A20" s="11" t="s">
        <v>95</v>
      </c>
      <c r="B20" s="12">
        <v>257</v>
      </c>
      <c r="C20" s="12">
        <v>565</v>
      </c>
      <c r="D20" s="12">
        <v>308</v>
      </c>
      <c r="E20" s="12">
        <v>-51</v>
      </c>
    </row>
    <row r="21" spans="1:5" x14ac:dyDescent="0.2">
      <c r="A21" s="11" t="s">
        <v>64</v>
      </c>
      <c r="B21" s="12">
        <v>2313</v>
      </c>
      <c r="C21" s="12">
        <v>5085</v>
      </c>
      <c r="D21" s="12">
        <v>2772</v>
      </c>
      <c r="E21" s="12">
        <v>-459</v>
      </c>
    </row>
    <row r="22" spans="1:5" x14ac:dyDescent="0.2">
      <c r="A22" s="11" t="s">
        <v>161</v>
      </c>
      <c r="B22" s="12">
        <v>2086</v>
      </c>
      <c r="C22" s="12">
        <v>4590</v>
      </c>
      <c r="D22" s="12">
        <v>2504</v>
      </c>
      <c r="E22" s="12">
        <v>-418</v>
      </c>
    </row>
    <row r="23" spans="1:5" x14ac:dyDescent="0.2">
      <c r="A23" s="11" t="s">
        <v>170</v>
      </c>
      <c r="B23" s="12"/>
      <c r="C23" s="12"/>
      <c r="D23" s="12"/>
      <c r="E23" s="12"/>
    </row>
    <row r="24" spans="1:5" x14ac:dyDescent="0.2">
      <c r="A24" s="11" t="s">
        <v>171</v>
      </c>
      <c r="B24" s="12">
        <v>167055</v>
      </c>
      <c r="C24" s="12">
        <v>363527</v>
      </c>
      <c r="D24" s="12">
        <v>196472</v>
      </c>
      <c r="E24" s="12">
        <v>-29417</v>
      </c>
    </row>
    <row r="37" spans="1:1" x14ac:dyDescent="0.2">
      <c r="A37" t="s">
        <v>258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2F5B-7E84-1443-8CD0-3174C5AF062B}">
  <dimension ref="A3:B14"/>
  <sheetViews>
    <sheetView workbookViewId="0">
      <selection activeCell="A3" sqref="A3"/>
    </sheetView>
  </sheetViews>
  <sheetFormatPr baseColWidth="10" defaultRowHeight="15" x14ac:dyDescent="0.2"/>
  <cols>
    <col min="1" max="1" width="20.1640625" bestFit="1" customWidth="1"/>
    <col min="2" max="2" width="13.5" bestFit="1" customWidth="1"/>
  </cols>
  <sheetData>
    <row r="3" spans="1:2" x14ac:dyDescent="0.2">
      <c r="A3" s="10" t="s">
        <v>169</v>
      </c>
      <c r="B3" t="s">
        <v>167</v>
      </c>
    </row>
    <row r="4" spans="1:2" x14ac:dyDescent="0.2">
      <c r="A4" s="11" t="s">
        <v>22</v>
      </c>
      <c r="B4" s="12">
        <v>216049</v>
      </c>
    </row>
    <row r="5" spans="1:2" x14ac:dyDescent="0.2">
      <c r="A5" s="29" t="s">
        <v>21</v>
      </c>
      <c r="B5" s="12">
        <v>115783</v>
      </c>
    </row>
    <row r="6" spans="1:2" x14ac:dyDescent="0.2">
      <c r="A6" s="29" t="s">
        <v>35</v>
      </c>
      <c r="B6" s="12">
        <v>79141</v>
      </c>
    </row>
    <row r="7" spans="1:2" x14ac:dyDescent="0.2">
      <c r="A7" s="29" t="s">
        <v>41</v>
      </c>
      <c r="B7" s="12">
        <v>21125</v>
      </c>
    </row>
    <row r="8" spans="1:2" x14ac:dyDescent="0.2">
      <c r="A8" s="11" t="s">
        <v>28</v>
      </c>
      <c r="B8" s="12">
        <v>147478</v>
      </c>
    </row>
    <row r="9" spans="1:2" x14ac:dyDescent="0.2">
      <c r="A9" s="29" t="s">
        <v>21</v>
      </c>
      <c r="B9" s="12">
        <v>92768</v>
      </c>
    </row>
    <row r="10" spans="1:2" x14ac:dyDescent="0.2">
      <c r="A10" s="29" t="s">
        <v>35</v>
      </c>
      <c r="B10" s="12">
        <v>40505</v>
      </c>
    </row>
    <row r="11" spans="1:2" x14ac:dyDescent="0.2">
      <c r="A11" s="29" t="s">
        <v>41</v>
      </c>
      <c r="B11" s="12">
        <v>14205</v>
      </c>
    </row>
    <row r="12" spans="1:2" x14ac:dyDescent="0.2">
      <c r="A12" s="11" t="s">
        <v>170</v>
      </c>
      <c r="B12" s="12"/>
    </row>
    <row r="13" spans="1:2" x14ac:dyDescent="0.2">
      <c r="A13" s="29" t="s">
        <v>170</v>
      </c>
      <c r="B13" s="12"/>
    </row>
    <row r="14" spans="1:2" x14ac:dyDescent="0.2">
      <c r="A14" s="11" t="s">
        <v>171</v>
      </c>
      <c r="B14" s="12">
        <v>363527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0"/>
  <sheetViews>
    <sheetView topLeftCell="J1" workbookViewId="0">
      <pane ySplit="1" topLeftCell="A33" activePane="bottomLeft" state="frozen"/>
      <selection activeCell="M1" sqref="M1"/>
      <selection pane="bottomLeft" activeCell="U97" sqref="U97"/>
    </sheetView>
  </sheetViews>
  <sheetFormatPr baseColWidth="10" defaultColWidth="8.83203125" defaultRowHeight="15" x14ac:dyDescent="0.2"/>
  <cols>
    <col min="1" max="1" width="22.83203125" style="23" customWidth="1"/>
    <col min="2" max="2" width="32" style="24" customWidth="1"/>
    <col min="3" max="3" width="13" style="25" customWidth="1"/>
    <col min="4" max="4" width="15.83203125" style="25" customWidth="1"/>
    <col min="5" max="5" width="13.1640625" style="25" customWidth="1"/>
    <col min="6" max="6" width="15" style="23" bestFit="1" customWidth="1"/>
    <col min="7" max="7" width="21.6640625" style="25" customWidth="1"/>
    <col min="8" max="8" width="17.83203125" style="25" bestFit="1" customWidth="1"/>
    <col min="9" max="9" width="17.6640625" style="25" customWidth="1"/>
    <col min="10" max="10" width="18.6640625" style="25" customWidth="1"/>
    <col min="11" max="11" width="17.5" style="25" bestFit="1" customWidth="1"/>
    <col min="12" max="12" width="17" style="25" customWidth="1"/>
    <col min="13" max="13" width="23" style="25" customWidth="1"/>
    <col min="14" max="14" width="15.83203125" style="25" bestFit="1" customWidth="1"/>
    <col min="15" max="15" width="11.83203125" style="26" bestFit="1" customWidth="1"/>
    <col min="16" max="16" width="12.5" style="26" bestFit="1" customWidth="1"/>
    <col min="17" max="17" width="13.1640625" style="26" customWidth="1"/>
    <col min="18" max="18" width="9.6640625" style="26" customWidth="1"/>
    <col min="19" max="19" width="13.33203125" style="26" customWidth="1"/>
    <col min="20" max="20" width="18.83203125" style="25" customWidth="1"/>
    <col min="21" max="21" width="14" style="25" customWidth="1"/>
    <col min="22" max="16384" width="8.83203125" style="25"/>
  </cols>
  <sheetData>
    <row r="1" spans="1:21" s="22" customFormat="1" x14ac:dyDescent="0.2">
      <c r="A1" s="13" t="s">
        <v>0</v>
      </c>
      <c r="B1" s="14" t="s">
        <v>1</v>
      </c>
      <c r="C1" s="4" t="s">
        <v>2</v>
      </c>
      <c r="D1" s="4" t="s">
        <v>3</v>
      </c>
      <c r="E1" s="4" t="s">
        <v>4</v>
      </c>
      <c r="F1" s="1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4" t="s">
        <v>165</v>
      </c>
      <c r="U1" s="4" t="s">
        <v>177</v>
      </c>
    </row>
    <row r="2" spans="1:21" hidden="1" x14ac:dyDescent="0.2">
      <c r="A2" s="16" t="s">
        <v>19</v>
      </c>
      <c r="B2" s="17">
        <v>44531</v>
      </c>
      <c r="C2" s="6">
        <v>1</v>
      </c>
      <c r="D2" s="6" t="s">
        <v>20</v>
      </c>
      <c r="E2" s="6">
        <v>2021</v>
      </c>
      <c r="F2" s="16">
        <v>39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7" t="s">
        <v>27</v>
      </c>
      <c r="N2" s="6">
        <v>4</v>
      </c>
      <c r="O2" s="18">
        <v>1252</v>
      </c>
      <c r="P2" s="18">
        <v>2295</v>
      </c>
      <c r="Q2" s="18">
        <v>4172</v>
      </c>
      <c r="R2" s="18">
        <f>N2*O2</f>
        <v>5008</v>
      </c>
      <c r="S2" s="18">
        <f>N2*P2</f>
        <v>9180</v>
      </c>
      <c r="T2" s="18">
        <f>S2-R2</f>
        <v>4172</v>
      </c>
      <c r="U2" s="18">
        <f>T2-R2</f>
        <v>-836</v>
      </c>
    </row>
    <row r="3" spans="1:21" hidden="1" x14ac:dyDescent="0.2">
      <c r="A3" s="16">
        <v>261709</v>
      </c>
      <c r="B3" s="17">
        <v>44536</v>
      </c>
      <c r="C3" s="6">
        <v>6</v>
      </c>
      <c r="D3" s="6" t="s">
        <v>20</v>
      </c>
      <c r="E3" s="6">
        <v>2021</v>
      </c>
      <c r="F3" s="16">
        <v>36</v>
      </c>
      <c r="G3" s="6" t="s">
        <v>21</v>
      </c>
      <c r="H3" s="6" t="s">
        <v>28</v>
      </c>
      <c r="I3" s="6" t="s">
        <v>36</v>
      </c>
      <c r="J3" s="6" t="s">
        <v>37</v>
      </c>
      <c r="K3" s="6" t="s">
        <v>25</v>
      </c>
      <c r="L3" s="6" t="s">
        <v>26</v>
      </c>
      <c r="M3" s="7" t="s">
        <v>57</v>
      </c>
      <c r="N3" s="6">
        <v>1</v>
      </c>
      <c r="O3" s="18">
        <v>1252</v>
      </c>
      <c r="P3" s="18">
        <v>2295</v>
      </c>
      <c r="Q3" s="18">
        <v>1043</v>
      </c>
      <c r="R3" s="18">
        <f>N3*O3</f>
        <v>1252</v>
      </c>
      <c r="S3" s="18">
        <f>N3*P3</f>
        <v>2295</v>
      </c>
      <c r="T3" s="18">
        <f t="shared" ref="T3:T66" si="0">S3-R3</f>
        <v>1043</v>
      </c>
      <c r="U3" s="18">
        <f t="shared" ref="U3:U66" si="1">T3-R3</f>
        <v>-209</v>
      </c>
    </row>
    <row r="4" spans="1:21" hidden="1" x14ac:dyDescent="0.2">
      <c r="A4" s="16" t="s">
        <v>32</v>
      </c>
      <c r="B4" s="17">
        <v>44532</v>
      </c>
      <c r="C4" s="6">
        <v>2</v>
      </c>
      <c r="D4" s="6" t="s">
        <v>20</v>
      </c>
      <c r="E4" s="6">
        <v>2021</v>
      </c>
      <c r="F4" s="16">
        <v>37</v>
      </c>
      <c r="G4" s="6" t="s">
        <v>21</v>
      </c>
      <c r="H4" s="6" t="s">
        <v>28</v>
      </c>
      <c r="I4" s="6" t="s">
        <v>23</v>
      </c>
      <c r="J4" s="6" t="s">
        <v>24</v>
      </c>
      <c r="K4" s="6" t="s">
        <v>25</v>
      </c>
      <c r="L4" s="6" t="s">
        <v>26</v>
      </c>
      <c r="M4" s="7" t="s">
        <v>33</v>
      </c>
      <c r="N4" s="6">
        <v>2</v>
      </c>
      <c r="O4" s="18">
        <v>420</v>
      </c>
      <c r="P4" s="18">
        <v>769</v>
      </c>
      <c r="Q4" s="18">
        <v>698</v>
      </c>
      <c r="R4" s="18">
        <f>N4*O4</f>
        <v>840</v>
      </c>
      <c r="S4" s="18">
        <f>N4*P4</f>
        <v>1538</v>
      </c>
      <c r="T4" s="18">
        <f t="shared" si="0"/>
        <v>698</v>
      </c>
      <c r="U4" s="18">
        <f t="shared" si="1"/>
        <v>-142</v>
      </c>
    </row>
    <row r="5" spans="1:21" hidden="1" x14ac:dyDescent="0.2">
      <c r="A5" s="16" t="s">
        <v>34</v>
      </c>
      <c r="B5" s="17">
        <v>44532</v>
      </c>
      <c r="C5" s="6">
        <v>2</v>
      </c>
      <c r="D5" s="6" t="s">
        <v>20</v>
      </c>
      <c r="E5" s="6">
        <v>2021</v>
      </c>
      <c r="F5" s="16">
        <v>31</v>
      </c>
      <c r="G5" s="6" t="s">
        <v>35</v>
      </c>
      <c r="H5" s="6" t="s">
        <v>22</v>
      </c>
      <c r="I5" s="6" t="s">
        <v>36</v>
      </c>
      <c r="J5" s="6" t="s">
        <v>37</v>
      </c>
      <c r="K5" s="6" t="s">
        <v>25</v>
      </c>
      <c r="L5" s="6" t="s">
        <v>26</v>
      </c>
      <c r="M5" s="7" t="s">
        <v>38</v>
      </c>
      <c r="N5" s="6">
        <v>1</v>
      </c>
      <c r="O5" s="18">
        <v>420</v>
      </c>
      <c r="P5" s="18">
        <v>769</v>
      </c>
      <c r="Q5" s="18">
        <v>349</v>
      </c>
      <c r="R5" s="18">
        <f>N5*O5</f>
        <v>420</v>
      </c>
      <c r="S5" s="18">
        <f>N5*P5</f>
        <v>769</v>
      </c>
      <c r="T5" s="18">
        <f t="shared" si="0"/>
        <v>349</v>
      </c>
      <c r="U5" s="18">
        <f t="shared" si="1"/>
        <v>-71</v>
      </c>
    </row>
    <row r="6" spans="1:21" hidden="1" x14ac:dyDescent="0.2">
      <c r="A6" s="16" t="s">
        <v>39</v>
      </c>
      <c r="B6" s="17">
        <v>44533</v>
      </c>
      <c r="C6" s="6">
        <v>3</v>
      </c>
      <c r="D6" s="6" t="s">
        <v>20</v>
      </c>
      <c r="E6" s="6">
        <v>2021</v>
      </c>
      <c r="F6" s="16">
        <v>37</v>
      </c>
      <c r="G6" s="6" t="s">
        <v>21</v>
      </c>
      <c r="H6" s="6" t="s">
        <v>22</v>
      </c>
      <c r="I6" s="6" t="s">
        <v>23</v>
      </c>
      <c r="J6" s="6" t="s">
        <v>24</v>
      </c>
      <c r="K6" s="6" t="s">
        <v>25</v>
      </c>
      <c r="L6" s="6" t="s">
        <v>26</v>
      </c>
      <c r="M6" s="7" t="s">
        <v>27</v>
      </c>
      <c r="N6" s="6">
        <v>2</v>
      </c>
      <c r="O6" s="18">
        <v>0</v>
      </c>
      <c r="P6" s="18">
        <v>2295</v>
      </c>
      <c r="Q6" s="18">
        <v>2086</v>
      </c>
      <c r="R6" s="18">
        <f>N6*O6</f>
        <v>0</v>
      </c>
      <c r="S6" s="18">
        <f>N6*P6</f>
        <v>4590</v>
      </c>
      <c r="T6" s="18">
        <f t="shared" si="0"/>
        <v>4590</v>
      </c>
      <c r="U6" s="18">
        <f t="shared" si="1"/>
        <v>4590</v>
      </c>
    </row>
    <row r="7" spans="1:21" hidden="1" x14ac:dyDescent="0.2">
      <c r="A7" s="16" t="s">
        <v>40</v>
      </c>
      <c r="B7" s="17">
        <v>44533</v>
      </c>
      <c r="C7" s="6">
        <v>3</v>
      </c>
      <c r="D7" s="6" t="s">
        <v>20</v>
      </c>
      <c r="E7" s="6">
        <v>2021</v>
      </c>
      <c r="F7" s="16">
        <v>24</v>
      </c>
      <c r="G7" s="6" t="s">
        <v>41</v>
      </c>
      <c r="H7" s="6" t="s">
        <v>22</v>
      </c>
      <c r="I7" s="6" t="s">
        <v>29</v>
      </c>
      <c r="J7" s="6" t="s">
        <v>30</v>
      </c>
      <c r="K7" s="6" t="s">
        <v>25</v>
      </c>
      <c r="L7" s="6" t="s">
        <v>26</v>
      </c>
      <c r="M7" s="7" t="s">
        <v>42</v>
      </c>
      <c r="N7" s="6">
        <v>1</v>
      </c>
      <c r="O7" s="18">
        <v>1252</v>
      </c>
      <c r="P7" s="18">
        <v>2295</v>
      </c>
      <c r="Q7" s="18">
        <v>1043</v>
      </c>
      <c r="R7" s="18">
        <f>N7*O7</f>
        <v>1252</v>
      </c>
      <c r="S7" s="18">
        <f>N7*P7</f>
        <v>2295</v>
      </c>
      <c r="T7" s="18">
        <f t="shared" si="0"/>
        <v>1043</v>
      </c>
      <c r="U7" s="18">
        <f t="shared" si="1"/>
        <v>-209</v>
      </c>
    </row>
    <row r="8" spans="1:21" hidden="1" x14ac:dyDescent="0.2">
      <c r="A8" s="16" t="s">
        <v>19</v>
      </c>
      <c r="B8" s="17">
        <v>44531</v>
      </c>
      <c r="C8" s="6">
        <v>1</v>
      </c>
      <c r="D8" s="6" t="s">
        <v>20</v>
      </c>
      <c r="E8" s="6">
        <v>2021</v>
      </c>
      <c r="F8" s="16">
        <v>44</v>
      </c>
      <c r="G8" s="6" t="s">
        <v>21</v>
      </c>
      <c r="H8" s="6" t="s">
        <v>28</v>
      </c>
      <c r="I8" s="6" t="s">
        <v>29</v>
      </c>
      <c r="J8" s="6" t="s">
        <v>30</v>
      </c>
      <c r="K8" s="6" t="s">
        <v>25</v>
      </c>
      <c r="L8" s="6" t="s">
        <v>26</v>
      </c>
      <c r="M8" s="7" t="s">
        <v>31</v>
      </c>
      <c r="N8" s="6">
        <v>1</v>
      </c>
      <c r="O8" s="18">
        <v>1266</v>
      </c>
      <c r="P8" s="18">
        <v>2320</v>
      </c>
      <c r="Q8" s="18">
        <v>1054</v>
      </c>
      <c r="R8" s="18">
        <f>N8*O8</f>
        <v>1266</v>
      </c>
      <c r="S8" s="18">
        <f>N8*P8</f>
        <v>2320</v>
      </c>
      <c r="T8" s="18">
        <f t="shared" si="0"/>
        <v>1054</v>
      </c>
      <c r="U8" s="18">
        <f t="shared" si="1"/>
        <v>-212</v>
      </c>
    </row>
    <row r="9" spans="1:21" s="27" customFormat="1" hidden="1" x14ac:dyDescent="0.2">
      <c r="A9" s="16" t="s">
        <v>43</v>
      </c>
      <c r="B9" s="17">
        <v>44533</v>
      </c>
      <c r="C9" s="6">
        <v>3</v>
      </c>
      <c r="D9" s="6" t="s">
        <v>20</v>
      </c>
      <c r="E9" s="6">
        <v>2021</v>
      </c>
      <c r="F9" s="16">
        <v>37</v>
      </c>
      <c r="G9" s="6" t="s">
        <v>21</v>
      </c>
      <c r="H9" s="6" t="s">
        <v>28</v>
      </c>
      <c r="I9" s="6" t="s">
        <v>23</v>
      </c>
      <c r="J9" s="6" t="s">
        <v>44</v>
      </c>
      <c r="K9" s="6" t="s">
        <v>25</v>
      </c>
      <c r="L9" s="6" t="s">
        <v>26</v>
      </c>
      <c r="M9" s="7" t="s">
        <v>27</v>
      </c>
      <c r="N9" s="6">
        <v>1</v>
      </c>
      <c r="O9" s="18">
        <v>1252</v>
      </c>
      <c r="P9" s="18">
        <v>2295</v>
      </c>
      <c r="Q9" s="18">
        <v>1043</v>
      </c>
      <c r="R9" s="18">
        <f>N9*O9</f>
        <v>1252</v>
      </c>
      <c r="S9" s="18">
        <f>N9*P9</f>
        <v>2295</v>
      </c>
      <c r="T9" s="18">
        <f t="shared" si="0"/>
        <v>1043</v>
      </c>
      <c r="U9" s="18">
        <f t="shared" si="1"/>
        <v>-209</v>
      </c>
    </row>
    <row r="10" spans="1:21" hidden="1" x14ac:dyDescent="0.2">
      <c r="A10" s="16" t="s">
        <v>45</v>
      </c>
      <c r="B10" s="17">
        <v>44534</v>
      </c>
      <c r="C10" s="6">
        <v>4</v>
      </c>
      <c r="D10" s="6" t="s">
        <v>20</v>
      </c>
      <c r="E10" s="6">
        <v>2021</v>
      </c>
      <c r="F10" s="16">
        <v>31</v>
      </c>
      <c r="G10" s="6" t="s">
        <v>35</v>
      </c>
      <c r="H10" s="6" t="s">
        <v>22</v>
      </c>
      <c r="I10" s="6" t="s">
        <v>36</v>
      </c>
      <c r="J10" s="6" t="s">
        <v>37</v>
      </c>
      <c r="K10" s="6" t="s">
        <v>25</v>
      </c>
      <c r="L10" s="6" t="s">
        <v>26</v>
      </c>
      <c r="M10" s="7" t="s">
        <v>38</v>
      </c>
      <c r="N10" s="6">
        <v>4</v>
      </c>
      <c r="O10" s="18">
        <v>420</v>
      </c>
      <c r="P10" s="18">
        <v>769</v>
      </c>
      <c r="Q10" s="18">
        <v>1396</v>
      </c>
      <c r="R10" s="18">
        <f>N10*O10</f>
        <v>1680</v>
      </c>
      <c r="S10" s="18">
        <f>N10*P10</f>
        <v>3076</v>
      </c>
      <c r="T10" s="18">
        <f t="shared" si="0"/>
        <v>1396</v>
      </c>
      <c r="U10" s="18">
        <f t="shared" si="1"/>
        <v>-284</v>
      </c>
    </row>
    <row r="11" spans="1:21" hidden="1" x14ac:dyDescent="0.2">
      <c r="A11" s="16" t="s">
        <v>46</v>
      </c>
      <c r="B11" s="17">
        <v>44535</v>
      </c>
      <c r="C11" s="6">
        <v>5</v>
      </c>
      <c r="D11" s="6" t="s">
        <v>20</v>
      </c>
      <c r="E11" s="6">
        <v>2021</v>
      </c>
      <c r="F11" s="16">
        <v>39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7" t="s">
        <v>27</v>
      </c>
      <c r="N11" s="6">
        <v>4</v>
      </c>
      <c r="O11" s="18">
        <v>1252</v>
      </c>
      <c r="P11" s="18">
        <v>2295</v>
      </c>
      <c r="Q11" s="18">
        <v>4172</v>
      </c>
      <c r="R11" s="18">
        <f>N11*O11</f>
        <v>5008</v>
      </c>
      <c r="S11" s="18">
        <f>N11*P11</f>
        <v>9180</v>
      </c>
      <c r="T11" s="18">
        <f t="shared" si="0"/>
        <v>4172</v>
      </c>
      <c r="U11" s="18">
        <f t="shared" si="1"/>
        <v>-836</v>
      </c>
    </row>
    <row r="12" spans="1:21" hidden="1" x14ac:dyDescent="0.2">
      <c r="A12" s="16">
        <v>261704</v>
      </c>
      <c r="B12" s="17">
        <v>44535</v>
      </c>
      <c r="C12" s="6">
        <v>5</v>
      </c>
      <c r="D12" s="6" t="s">
        <v>20</v>
      </c>
      <c r="E12" s="6">
        <v>2021</v>
      </c>
      <c r="F12" s="16">
        <v>42</v>
      </c>
      <c r="G12" s="6" t="s">
        <v>21</v>
      </c>
      <c r="H12" s="6" t="s">
        <v>28</v>
      </c>
      <c r="I12" s="6" t="s">
        <v>47</v>
      </c>
      <c r="J12" s="6" t="s">
        <v>48</v>
      </c>
      <c r="K12" s="6" t="s">
        <v>25</v>
      </c>
      <c r="L12" s="6" t="s">
        <v>26</v>
      </c>
      <c r="M12" s="7" t="s">
        <v>42</v>
      </c>
      <c r="N12" s="6">
        <v>4</v>
      </c>
      <c r="O12" s="18">
        <v>1252</v>
      </c>
      <c r="P12" s="18">
        <v>2295</v>
      </c>
      <c r="Q12" s="18">
        <v>4172</v>
      </c>
      <c r="R12" s="18">
        <f>N12*O12</f>
        <v>5008</v>
      </c>
      <c r="S12" s="18">
        <f>N12*P12</f>
        <v>9180</v>
      </c>
      <c r="T12" s="18">
        <f t="shared" si="0"/>
        <v>4172</v>
      </c>
      <c r="U12" s="18">
        <f t="shared" si="1"/>
        <v>-836</v>
      </c>
    </row>
    <row r="13" spans="1:21" hidden="1" x14ac:dyDescent="0.2">
      <c r="A13" s="16" t="s">
        <v>49</v>
      </c>
      <c r="B13" s="17">
        <v>44535</v>
      </c>
      <c r="C13" s="6">
        <v>5</v>
      </c>
      <c r="D13" s="6" t="s">
        <v>20</v>
      </c>
      <c r="E13" s="6">
        <v>2021</v>
      </c>
      <c r="F13" s="16">
        <v>35</v>
      </c>
      <c r="G13" s="6" t="s">
        <v>21</v>
      </c>
      <c r="H13" s="6" t="s">
        <v>22</v>
      </c>
      <c r="I13" s="6" t="s">
        <v>36</v>
      </c>
      <c r="J13" s="6" t="s">
        <v>50</v>
      </c>
      <c r="K13" s="6" t="s">
        <v>25</v>
      </c>
      <c r="L13" s="6" t="s">
        <v>26</v>
      </c>
      <c r="M13" s="7" t="s">
        <v>51</v>
      </c>
      <c r="N13" s="6">
        <v>1</v>
      </c>
      <c r="O13" s="18">
        <v>1266</v>
      </c>
      <c r="P13" s="18">
        <v>2320</v>
      </c>
      <c r="Q13" s="18">
        <v>1054</v>
      </c>
      <c r="R13" s="18">
        <f>N13*O13</f>
        <v>1266</v>
      </c>
      <c r="S13" s="18">
        <f>N13*P13</f>
        <v>2320</v>
      </c>
      <c r="T13" s="18">
        <f t="shared" si="0"/>
        <v>1054</v>
      </c>
      <c r="U13" s="18">
        <f t="shared" si="1"/>
        <v>-212</v>
      </c>
    </row>
    <row r="14" spans="1:21" hidden="1" x14ac:dyDescent="0.2">
      <c r="A14" s="16" t="s">
        <v>52</v>
      </c>
      <c r="B14" s="17">
        <v>44535</v>
      </c>
      <c r="C14" s="6">
        <v>5</v>
      </c>
      <c r="D14" s="6" t="s">
        <v>20</v>
      </c>
      <c r="E14" s="6">
        <v>2021</v>
      </c>
      <c r="F14" s="16">
        <v>37</v>
      </c>
      <c r="G14" s="6" t="s">
        <v>21</v>
      </c>
      <c r="H14" s="6" t="s">
        <v>22</v>
      </c>
      <c r="I14" s="6" t="s">
        <v>23</v>
      </c>
      <c r="J14" s="6" t="s">
        <v>24</v>
      </c>
      <c r="K14" s="6" t="s">
        <v>25</v>
      </c>
      <c r="L14" s="6" t="s">
        <v>26</v>
      </c>
      <c r="M14" s="7" t="s">
        <v>27</v>
      </c>
      <c r="N14" s="6">
        <v>1</v>
      </c>
      <c r="O14" s="18">
        <v>1252</v>
      </c>
      <c r="P14" s="18">
        <v>2295</v>
      </c>
      <c r="Q14" s="18">
        <v>1043</v>
      </c>
      <c r="R14" s="18">
        <f>N14*O14</f>
        <v>1252</v>
      </c>
      <c r="S14" s="18">
        <f>N14*P14</f>
        <v>2295</v>
      </c>
      <c r="T14" s="18">
        <f t="shared" si="0"/>
        <v>1043</v>
      </c>
      <c r="U14" s="18">
        <f t="shared" si="1"/>
        <v>-209</v>
      </c>
    </row>
    <row r="15" spans="1:21" hidden="1" x14ac:dyDescent="0.2">
      <c r="A15" s="16" t="s">
        <v>53</v>
      </c>
      <c r="B15" s="17">
        <v>44536</v>
      </c>
      <c r="C15" s="6">
        <v>6</v>
      </c>
      <c r="D15" s="6" t="s">
        <v>20</v>
      </c>
      <c r="E15" s="6">
        <v>2021</v>
      </c>
      <c r="F15" s="16">
        <v>23</v>
      </c>
      <c r="G15" s="6" t="s">
        <v>41</v>
      </c>
      <c r="H15" s="6" t="s">
        <v>28</v>
      </c>
      <c r="I15" s="6" t="s">
        <v>29</v>
      </c>
      <c r="J15" s="6" t="s">
        <v>30</v>
      </c>
      <c r="K15" s="6" t="s">
        <v>25</v>
      </c>
      <c r="L15" s="6" t="s">
        <v>26</v>
      </c>
      <c r="M15" s="7" t="s">
        <v>33</v>
      </c>
      <c r="N15" s="6">
        <v>3</v>
      </c>
      <c r="O15" s="18">
        <v>420</v>
      </c>
      <c r="P15" s="18">
        <v>769</v>
      </c>
      <c r="Q15" s="18">
        <v>1047</v>
      </c>
      <c r="R15" s="18">
        <f>N15*O15</f>
        <v>1260</v>
      </c>
      <c r="S15" s="18">
        <f>N15*P15</f>
        <v>2307</v>
      </c>
      <c r="T15" s="18">
        <f t="shared" si="0"/>
        <v>1047</v>
      </c>
      <c r="U15" s="18">
        <f t="shared" si="1"/>
        <v>-213</v>
      </c>
    </row>
    <row r="16" spans="1:21" hidden="1" x14ac:dyDescent="0.2">
      <c r="A16" s="16" t="s">
        <v>54</v>
      </c>
      <c r="B16" s="17">
        <v>44536</v>
      </c>
      <c r="C16" s="6">
        <v>6</v>
      </c>
      <c r="D16" s="6" t="s">
        <v>20</v>
      </c>
      <c r="E16" s="6">
        <v>2021</v>
      </c>
      <c r="F16" s="16">
        <v>27</v>
      </c>
      <c r="G16" s="6" t="s">
        <v>35</v>
      </c>
      <c r="H16" s="6" t="s">
        <v>28</v>
      </c>
      <c r="I16" s="6" t="s">
        <v>55</v>
      </c>
      <c r="J16" s="6" t="s">
        <v>56</v>
      </c>
      <c r="K16" s="6" t="s">
        <v>25</v>
      </c>
      <c r="L16" s="6" t="s">
        <v>26</v>
      </c>
      <c r="M16" s="7" t="s">
        <v>27</v>
      </c>
      <c r="N16" s="6">
        <v>1</v>
      </c>
      <c r="O16" s="18">
        <v>1252</v>
      </c>
      <c r="P16" s="18">
        <v>2295</v>
      </c>
      <c r="Q16" s="18">
        <v>1043</v>
      </c>
      <c r="R16" s="18">
        <f>N16*O16</f>
        <v>1252</v>
      </c>
      <c r="S16" s="18">
        <f>N16*P16</f>
        <v>2295</v>
      </c>
      <c r="T16" s="18">
        <f t="shared" si="0"/>
        <v>1043</v>
      </c>
      <c r="U16" s="18">
        <f t="shared" si="1"/>
        <v>-209</v>
      </c>
    </row>
    <row r="17" spans="1:21" hidden="1" x14ac:dyDescent="0.2">
      <c r="A17" s="16" t="s">
        <v>73</v>
      </c>
      <c r="B17" s="17">
        <v>44540</v>
      </c>
      <c r="C17" s="6">
        <v>10</v>
      </c>
      <c r="D17" s="6" t="s">
        <v>20</v>
      </c>
      <c r="E17" s="6">
        <v>2021</v>
      </c>
      <c r="F17" s="16">
        <v>34</v>
      </c>
      <c r="G17" s="6" t="s">
        <v>35</v>
      </c>
      <c r="H17" s="6" t="s">
        <v>22</v>
      </c>
      <c r="I17" s="6" t="s">
        <v>23</v>
      </c>
      <c r="J17" s="6" t="s">
        <v>24</v>
      </c>
      <c r="K17" s="6" t="s">
        <v>25</v>
      </c>
      <c r="L17" s="6" t="s">
        <v>26</v>
      </c>
      <c r="M17" s="7" t="s">
        <v>57</v>
      </c>
      <c r="N17" s="6">
        <v>2</v>
      </c>
      <c r="O17" s="18">
        <v>1252</v>
      </c>
      <c r="P17" s="18">
        <v>2295</v>
      </c>
      <c r="Q17" s="18">
        <v>2086</v>
      </c>
      <c r="R17" s="18">
        <f>N17*O17</f>
        <v>2504</v>
      </c>
      <c r="S17" s="18">
        <f>N17*P17</f>
        <v>4590</v>
      </c>
      <c r="T17" s="18">
        <f t="shared" si="0"/>
        <v>2086</v>
      </c>
      <c r="U17" s="18">
        <f t="shared" si="1"/>
        <v>-418</v>
      </c>
    </row>
    <row r="18" spans="1:21" hidden="1" x14ac:dyDescent="0.2">
      <c r="A18" s="16" t="s">
        <v>58</v>
      </c>
      <c r="B18" s="17">
        <v>44536</v>
      </c>
      <c r="C18" s="6">
        <v>6</v>
      </c>
      <c r="D18" s="6" t="s">
        <v>20</v>
      </c>
      <c r="E18" s="6">
        <v>2021</v>
      </c>
      <c r="F18" s="16">
        <v>47</v>
      </c>
      <c r="G18" s="6" t="s">
        <v>21</v>
      </c>
      <c r="H18" s="6" t="s">
        <v>28</v>
      </c>
      <c r="I18" s="6" t="s">
        <v>29</v>
      </c>
      <c r="J18" s="6" t="s">
        <v>30</v>
      </c>
      <c r="K18" s="6" t="s">
        <v>25</v>
      </c>
      <c r="L18" s="6" t="s">
        <v>26</v>
      </c>
      <c r="M18" s="7" t="s">
        <v>51</v>
      </c>
      <c r="N18" s="6">
        <v>1</v>
      </c>
      <c r="O18" s="18">
        <v>1266</v>
      </c>
      <c r="P18" s="18">
        <v>2320</v>
      </c>
      <c r="Q18" s="18">
        <v>1054</v>
      </c>
      <c r="R18" s="18">
        <f>N18*O18</f>
        <v>1266</v>
      </c>
      <c r="S18" s="18">
        <f>N18*P18</f>
        <v>2320</v>
      </c>
      <c r="T18" s="18">
        <f t="shared" si="0"/>
        <v>1054</v>
      </c>
      <c r="U18" s="18">
        <f t="shared" si="1"/>
        <v>-212</v>
      </c>
    </row>
    <row r="19" spans="1:21" hidden="1" x14ac:dyDescent="0.2">
      <c r="A19" s="16" t="s">
        <v>59</v>
      </c>
      <c r="B19" s="17">
        <v>44537</v>
      </c>
      <c r="C19" s="6">
        <v>7</v>
      </c>
      <c r="D19" s="6" t="s">
        <v>60</v>
      </c>
      <c r="E19" s="6">
        <v>2021</v>
      </c>
      <c r="F19" s="16">
        <v>30</v>
      </c>
      <c r="G19" s="6" t="s">
        <v>35</v>
      </c>
      <c r="H19" s="6" t="s">
        <v>28</v>
      </c>
      <c r="I19" s="6" t="s">
        <v>23</v>
      </c>
      <c r="J19" s="6" t="s">
        <v>24</v>
      </c>
      <c r="K19" s="6" t="s">
        <v>25</v>
      </c>
      <c r="L19" s="6" t="s">
        <v>26</v>
      </c>
      <c r="M19" s="7" t="s">
        <v>61</v>
      </c>
      <c r="N19" s="6">
        <v>4</v>
      </c>
      <c r="O19" s="18">
        <v>420</v>
      </c>
      <c r="P19" s="18">
        <v>769</v>
      </c>
      <c r="Q19" s="18">
        <v>1396</v>
      </c>
      <c r="R19" s="18">
        <f>N19*O19</f>
        <v>1680</v>
      </c>
      <c r="S19" s="18">
        <f>N19*P19</f>
        <v>3076</v>
      </c>
      <c r="T19" s="18">
        <f t="shared" si="0"/>
        <v>1396</v>
      </c>
      <c r="U19" s="18">
        <f t="shared" si="1"/>
        <v>-284</v>
      </c>
    </row>
    <row r="20" spans="1:21" hidden="1" x14ac:dyDescent="0.2">
      <c r="A20" s="16" t="s">
        <v>74</v>
      </c>
      <c r="B20" s="17">
        <v>44540</v>
      </c>
      <c r="C20" s="6">
        <v>10</v>
      </c>
      <c r="D20" s="6" t="s">
        <v>20</v>
      </c>
      <c r="E20" s="6">
        <v>2021</v>
      </c>
      <c r="F20" s="16">
        <v>40</v>
      </c>
      <c r="G20" s="6" t="s">
        <v>21</v>
      </c>
      <c r="H20" s="6" t="s">
        <v>28</v>
      </c>
      <c r="I20" s="6" t="s">
        <v>36</v>
      </c>
      <c r="J20" s="6" t="s">
        <v>37</v>
      </c>
      <c r="K20" s="6" t="s">
        <v>25</v>
      </c>
      <c r="L20" s="6" t="s">
        <v>26</v>
      </c>
      <c r="M20" s="7" t="s">
        <v>57</v>
      </c>
      <c r="N20" s="6">
        <v>2</v>
      </c>
      <c r="O20" s="18">
        <v>1252</v>
      </c>
      <c r="P20" s="18">
        <v>2295</v>
      </c>
      <c r="Q20" s="18">
        <v>2086</v>
      </c>
      <c r="R20" s="18">
        <f>N20*O20</f>
        <v>2504</v>
      </c>
      <c r="S20" s="18">
        <f>N20*P20</f>
        <v>4590</v>
      </c>
      <c r="T20" s="18">
        <f t="shared" si="0"/>
        <v>2086</v>
      </c>
      <c r="U20" s="18">
        <f t="shared" si="1"/>
        <v>-418</v>
      </c>
    </row>
    <row r="21" spans="1:21" hidden="1" x14ac:dyDescent="0.2">
      <c r="A21" s="16" t="s">
        <v>63</v>
      </c>
      <c r="B21" s="17">
        <v>44538</v>
      </c>
      <c r="C21" s="6">
        <v>8</v>
      </c>
      <c r="D21" s="6" t="s">
        <v>20</v>
      </c>
      <c r="E21" s="6">
        <v>2021</v>
      </c>
      <c r="F21" s="16">
        <v>19</v>
      </c>
      <c r="G21" s="6" t="s">
        <v>41</v>
      </c>
      <c r="H21" s="6" t="s">
        <v>22</v>
      </c>
      <c r="I21" s="6" t="s">
        <v>36</v>
      </c>
      <c r="J21" s="6" t="s">
        <v>37</v>
      </c>
      <c r="K21" s="6" t="s">
        <v>25</v>
      </c>
      <c r="L21" s="6" t="s">
        <v>26</v>
      </c>
      <c r="M21" s="7" t="s">
        <v>64</v>
      </c>
      <c r="N21" s="6">
        <v>4</v>
      </c>
      <c r="O21" s="18">
        <v>308</v>
      </c>
      <c r="P21" s="18">
        <v>565</v>
      </c>
      <c r="Q21" s="18">
        <v>1028</v>
      </c>
      <c r="R21" s="18">
        <f>N21*O21</f>
        <v>1232</v>
      </c>
      <c r="S21" s="18">
        <f>N21*P21</f>
        <v>2260</v>
      </c>
      <c r="T21" s="18">
        <f t="shared" si="0"/>
        <v>1028</v>
      </c>
      <c r="U21" s="18">
        <f t="shared" si="1"/>
        <v>-204</v>
      </c>
    </row>
    <row r="22" spans="1:21" hidden="1" x14ac:dyDescent="0.2">
      <c r="A22" s="16" t="s">
        <v>65</v>
      </c>
      <c r="B22" s="17">
        <v>44538</v>
      </c>
      <c r="C22" s="6">
        <v>8</v>
      </c>
      <c r="D22" s="6" t="s">
        <v>20</v>
      </c>
      <c r="E22" s="6">
        <v>2021</v>
      </c>
      <c r="F22" s="16">
        <v>30</v>
      </c>
      <c r="G22" s="6" t="s">
        <v>35</v>
      </c>
      <c r="H22" s="6" t="s">
        <v>22</v>
      </c>
      <c r="I22" s="6" t="s">
        <v>55</v>
      </c>
      <c r="J22" s="6" t="s">
        <v>56</v>
      </c>
      <c r="K22" s="6" t="s">
        <v>25</v>
      </c>
      <c r="L22" s="6" t="s">
        <v>26</v>
      </c>
      <c r="M22" s="7" t="s">
        <v>51</v>
      </c>
      <c r="N22" s="6">
        <v>4</v>
      </c>
      <c r="O22" s="18">
        <v>1266</v>
      </c>
      <c r="P22" s="18">
        <v>2320</v>
      </c>
      <c r="Q22" s="18">
        <v>4216</v>
      </c>
      <c r="R22" s="18">
        <f>N22*O22</f>
        <v>5064</v>
      </c>
      <c r="S22" s="18">
        <f>N22*P22</f>
        <v>9280</v>
      </c>
      <c r="T22" s="18">
        <f t="shared" si="0"/>
        <v>4216</v>
      </c>
      <c r="U22" s="18">
        <f t="shared" si="1"/>
        <v>-848</v>
      </c>
    </row>
    <row r="23" spans="1:21" hidden="1" x14ac:dyDescent="0.2">
      <c r="A23" s="16">
        <v>261715</v>
      </c>
      <c r="B23" s="17">
        <v>44538</v>
      </c>
      <c r="C23" s="6">
        <v>8</v>
      </c>
      <c r="D23" s="6" t="s">
        <v>20</v>
      </c>
      <c r="E23" s="6">
        <v>2021</v>
      </c>
      <c r="F23" s="16">
        <v>39</v>
      </c>
      <c r="G23" s="6" t="s">
        <v>21</v>
      </c>
      <c r="H23" s="6" t="s">
        <v>22</v>
      </c>
      <c r="I23" s="6" t="s">
        <v>23</v>
      </c>
      <c r="J23" s="6" t="s">
        <v>66</v>
      </c>
      <c r="K23" s="6" t="s">
        <v>25</v>
      </c>
      <c r="L23" s="6" t="s">
        <v>26</v>
      </c>
      <c r="M23" s="7" t="s">
        <v>161</v>
      </c>
      <c r="N23" s="6">
        <v>2</v>
      </c>
      <c r="O23" s="18">
        <v>1252</v>
      </c>
      <c r="P23" s="18">
        <v>2295</v>
      </c>
      <c r="Q23" s="18">
        <v>2086</v>
      </c>
      <c r="R23" s="18">
        <f>N23*O23</f>
        <v>2504</v>
      </c>
      <c r="S23" s="18">
        <f>N23*P23</f>
        <v>4590</v>
      </c>
      <c r="T23" s="18">
        <f t="shared" si="0"/>
        <v>2086</v>
      </c>
      <c r="U23" s="18">
        <f t="shared" si="1"/>
        <v>-418</v>
      </c>
    </row>
    <row r="24" spans="1:21" hidden="1" x14ac:dyDescent="0.2">
      <c r="A24" s="16">
        <v>261716</v>
      </c>
      <c r="B24" s="17">
        <v>44538</v>
      </c>
      <c r="C24" s="6">
        <v>8</v>
      </c>
      <c r="D24" s="6" t="s">
        <v>20</v>
      </c>
      <c r="E24" s="6">
        <v>2021</v>
      </c>
      <c r="F24" s="16">
        <v>35</v>
      </c>
      <c r="G24" s="6" t="s">
        <v>21</v>
      </c>
      <c r="H24" s="6" t="s">
        <v>22</v>
      </c>
      <c r="I24" s="6" t="s">
        <v>23</v>
      </c>
      <c r="J24" s="6" t="s">
        <v>24</v>
      </c>
      <c r="K24" s="6" t="s">
        <v>25</v>
      </c>
      <c r="L24" s="6" t="s">
        <v>26</v>
      </c>
      <c r="M24" s="7" t="s">
        <v>67</v>
      </c>
      <c r="N24" s="6">
        <v>1</v>
      </c>
      <c r="O24" s="18">
        <v>295</v>
      </c>
      <c r="P24" s="18">
        <v>540</v>
      </c>
      <c r="Q24" s="18">
        <v>245</v>
      </c>
      <c r="R24" s="18">
        <f>N24*O24</f>
        <v>295</v>
      </c>
      <c r="S24" s="18">
        <f>N24*P24</f>
        <v>540</v>
      </c>
      <c r="T24" s="18">
        <f t="shared" si="0"/>
        <v>245</v>
      </c>
      <c r="U24" s="18">
        <f t="shared" si="1"/>
        <v>-50</v>
      </c>
    </row>
    <row r="25" spans="1:21" hidden="1" x14ac:dyDescent="0.2">
      <c r="A25" s="16" t="s">
        <v>68</v>
      </c>
      <c r="B25" s="17">
        <v>44539</v>
      </c>
      <c r="C25" s="6">
        <v>9</v>
      </c>
      <c r="D25" s="6" t="s">
        <v>20</v>
      </c>
      <c r="E25" s="6">
        <v>2021</v>
      </c>
      <c r="F25" s="16">
        <v>33</v>
      </c>
      <c r="G25" s="6" t="s">
        <v>35</v>
      </c>
      <c r="H25" s="6" t="s">
        <v>22</v>
      </c>
      <c r="I25" s="6" t="s">
        <v>36</v>
      </c>
      <c r="J25" s="6" t="s">
        <v>69</v>
      </c>
      <c r="K25" s="6" t="s">
        <v>25</v>
      </c>
      <c r="L25" s="6" t="s">
        <v>26</v>
      </c>
      <c r="M25" s="7" t="s">
        <v>70</v>
      </c>
      <c r="N25" s="6">
        <v>2</v>
      </c>
      <c r="O25" s="18">
        <v>1898</v>
      </c>
      <c r="P25" s="18">
        <v>3375</v>
      </c>
      <c r="Q25" s="18">
        <v>2954</v>
      </c>
      <c r="R25" s="18">
        <f>N25*O25</f>
        <v>3796</v>
      </c>
      <c r="S25" s="18">
        <f>N25*P25</f>
        <v>6750</v>
      </c>
      <c r="T25" s="18">
        <f t="shared" si="0"/>
        <v>2954</v>
      </c>
      <c r="U25" s="18">
        <f t="shared" si="1"/>
        <v>-842</v>
      </c>
    </row>
    <row r="26" spans="1:21" hidden="1" x14ac:dyDescent="0.2">
      <c r="A26" s="16" t="s">
        <v>115</v>
      </c>
      <c r="B26" s="17">
        <v>44548</v>
      </c>
      <c r="C26" s="6">
        <v>18</v>
      </c>
      <c r="D26" s="6" t="s">
        <v>20</v>
      </c>
      <c r="E26" s="6">
        <v>2021</v>
      </c>
      <c r="F26" s="16">
        <v>39</v>
      </c>
      <c r="G26" s="6" t="s">
        <v>21</v>
      </c>
      <c r="H26" s="6" t="s">
        <v>28</v>
      </c>
      <c r="I26" s="6" t="s">
        <v>23</v>
      </c>
      <c r="J26" s="6" t="s">
        <v>24</v>
      </c>
      <c r="K26" s="6" t="s">
        <v>25</v>
      </c>
      <c r="L26" s="6" t="s">
        <v>26</v>
      </c>
      <c r="M26" s="7" t="s">
        <v>57</v>
      </c>
      <c r="N26" s="6">
        <v>3</v>
      </c>
      <c r="O26" s="18">
        <v>1252</v>
      </c>
      <c r="P26" s="18">
        <v>2295</v>
      </c>
      <c r="Q26" s="18">
        <v>3129</v>
      </c>
      <c r="R26" s="18">
        <f>N26*O26</f>
        <v>3756</v>
      </c>
      <c r="S26" s="18">
        <f>N26*P26</f>
        <v>6885</v>
      </c>
      <c r="T26" s="18">
        <f t="shared" si="0"/>
        <v>3129</v>
      </c>
      <c r="U26" s="18">
        <f t="shared" si="1"/>
        <v>-627</v>
      </c>
    </row>
    <row r="27" spans="1:21" hidden="1" x14ac:dyDescent="0.2">
      <c r="A27" s="16" t="s">
        <v>143</v>
      </c>
      <c r="B27" s="17">
        <v>44552</v>
      </c>
      <c r="C27" s="6">
        <v>22</v>
      </c>
      <c r="D27" s="6" t="s">
        <v>20</v>
      </c>
      <c r="E27" s="6">
        <v>2021</v>
      </c>
      <c r="F27" s="16">
        <v>41</v>
      </c>
      <c r="G27" s="6" t="s">
        <v>21</v>
      </c>
      <c r="H27" s="6" t="s">
        <v>28</v>
      </c>
      <c r="I27" s="6" t="s">
        <v>23</v>
      </c>
      <c r="J27" s="6" t="s">
        <v>24</v>
      </c>
      <c r="K27" s="6" t="s">
        <v>25</v>
      </c>
      <c r="L27" s="6" t="s">
        <v>26</v>
      </c>
      <c r="M27" s="7" t="s">
        <v>57</v>
      </c>
      <c r="N27" s="6">
        <v>3</v>
      </c>
      <c r="O27" s="18">
        <v>1252</v>
      </c>
      <c r="P27" s="18">
        <v>2295</v>
      </c>
      <c r="Q27" s="18">
        <v>3129</v>
      </c>
      <c r="R27" s="18">
        <f>N27*O27</f>
        <v>3756</v>
      </c>
      <c r="S27" s="18">
        <f>N27*P27</f>
        <v>6885</v>
      </c>
      <c r="T27" s="18">
        <f t="shared" si="0"/>
        <v>3129</v>
      </c>
      <c r="U27" s="18">
        <f t="shared" si="1"/>
        <v>-627</v>
      </c>
    </row>
    <row r="28" spans="1:21" hidden="1" x14ac:dyDescent="0.2">
      <c r="A28" s="16" t="s">
        <v>149</v>
      </c>
      <c r="B28" s="17">
        <v>44553</v>
      </c>
      <c r="C28" s="6">
        <v>23</v>
      </c>
      <c r="D28" s="6" t="s">
        <v>20</v>
      </c>
      <c r="E28" s="6">
        <v>2021</v>
      </c>
      <c r="F28" s="16">
        <v>31</v>
      </c>
      <c r="G28" s="6" t="s">
        <v>35</v>
      </c>
      <c r="H28" s="6" t="s">
        <v>22</v>
      </c>
      <c r="I28" s="6" t="s">
        <v>55</v>
      </c>
      <c r="J28" s="6" t="s">
        <v>56</v>
      </c>
      <c r="K28" s="6" t="s">
        <v>25</v>
      </c>
      <c r="L28" s="6" t="s">
        <v>26</v>
      </c>
      <c r="M28" s="7" t="s">
        <v>57</v>
      </c>
      <c r="N28" s="6">
        <v>1</v>
      </c>
      <c r="O28" s="18">
        <v>1252</v>
      </c>
      <c r="P28" s="18">
        <v>2295</v>
      </c>
      <c r="Q28" s="18">
        <v>1043</v>
      </c>
      <c r="R28" s="18">
        <f>N28*O28</f>
        <v>1252</v>
      </c>
      <c r="S28" s="18">
        <f>N28*P28</f>
        <v>2295</v>
      </c>
      <c r="T28" s="18">
        <f t="shared" si="0"/>
        <v>1043</v>
      </c>
      <c r="U28" s="18">
        <f t="shared" si="1"/>
        <v>-209</v>
      </c>
    </row>
    <row r="29" spans="1:21" hidden="1" x14ac:dyDescent="0.2">
      <c r="A29" s="16" t="s">
        <v>75</v>
      </c>
      <c r="B29" s="17">
        <v>44540</v>
      </c>
      <c r="C29" s="6">
        <v>10</v>
      </c>
      <c r="D29" s="6" t="s">
        <v>20</v>
      </c>
      <c r="E29" s="6">
        <v>2021</v>
      </c>
      <c r="F29" s="16">
        <v>26</v>
      </c>
      <c r="G29" s="6" t="s">
        <v>35</v>
      </c>
      <c r="H29" s="6" t="s">
        <v>28</v>
      </c>
      <c r="I29" s="6" t="s">
        <v>29</v>
      </c>
      <c r="J29" s="6" t="s">
        <v>30</v>
      </c>
      <c r="K29" s="6" t="s">
        <v>25</v>
      </c>
      <c r="L29" s="6" t="s">
        <v>26</v>
      </c>
      <c r="M29" s="7" t="s">
        <v>42</v>
      </c>
      <c r="N29" s="6">
        <v>1</v>
      </c>
      <c r="O29" s="18">
        <v>1252</v>
      </c>
      <c r="P29" s="18">
        <v>2295</v>
      </c>
      <c r="Q29" s="18">
        <v>1043</v>
      </c>
      <c r="R29" s="18">
        <f>N29*O29</f>
        <v>1252</v>
      </c>
      <c r="S29" s="18">
        <f>N29*P29</f>
        <v>2295</v>
      </c>
      <c r="T29" s="18">
        <f t="shared" si="0"/>
        <v>1043</v>
      </c>
      <c r="U29" s="18">
        <f t="shared" si="1"/>
        <v>-209</v>
      </c>
    </row>
    <row r="30" spans="1:21" hidden="1" x14ac:dyDescent="0.2">
      <c r="A30" s="16" t="s">
        <v>76</v>
      </c>
      <c r="B30" s="17">
        <v>44540</v>
      </c>
      <c r="C30" s="6">
        <v>10</v>
      </c>
      <c r="D30" s="6" t="s">
        <v>20</v>
      </c>
      <c r="E30" s="6">
        <v>2021</v>
      </c>
      <c r="F30" s="16">
        <v>34</v>
      </c>
      <c r="G30" s="6" t="s">
        <v>35</v>
      </c>
      <c r="H30" s="6" t="s">
        <v>28</v>
      </c>
      <c r="I30" s="6" t="s">
        <v>23</v>
      </c>
      <c r="J30" s="6" t="s">
        <v>24</v>
      </c>
      <c r="K30" s="6" t="s">
        <v>25</v>
      </c>
      <c r="L30" s="6" t="s">
        <v>26</v>
      </c>
      <c r="M30" s="7" t="s">
        <v>77</v>
      </c>
      <c r="N30" s="6">
        <v>1</v>
      </c>
      <c r="O30" s="18">
        <v>295</v>
      </c>
      <c r="P30" s="18">
        <v>540</v>
      </c>
      <c r="Q30" s="18">
        <v>245</v>
      </c>
      <c r="R30" s="18">
        <f>N30*O30</f>
        <v>295</v>
      </c>
      <c r="S30" s="18">
        <f>N30*P30</f>
        <v>540</v>
      </c>
      <c r="T30" s="18">
        <f t="shared" si="0"/>
        <v>245</v>
      </c>
      <c r="U30" s="18">
        <f t="shared" si="1"/>
        <v>-50</v>
      </c>
    </row>
    <row r="31" spans="1:21" hidden="1" x14ac:dyDescent="0.2">
      <c r="A31" s="16" t="s">
        <v>78</v>
      </c>
      <c r="B31" s="17">
        <v>44540</v>
      </c>
      <c r="C31" s="6">
        <v>10</v>
      </c>
      <c r="D31" s="6" t="s">
        <v>20</v>
      </c>
      <c r="E31" s="6">
        <v>2021</v>
      </c>
      <c r="F31" s="16">
        <v>34</v>
      </c>
      <c r="G31" s="6" t="s">
        <v>35</v>
      </c>
      <c r="H31" s="6" t="s">
        <v>22</v>
      </c>
      <c r="I31" s="6" t="s">
        <v>23</v>
      </c>
      <c r="J31" s="6" t="s">
        <v>44</v>
      </c>
      <c r="K31" s="6" t="s">
        <v>25</v>
      </c>
      <c r="L31" s="6" t="s">
        <v>26</v>
      </c>
      <c r="M31" s="7" t="s">
        <v>79</v>
      </c>
      <c r="N31" s="6">
        <v>1</v>
      </c>
      <c r="O31" s="18">
        <v>1912</v>
      </c>
      <c r="P31" s="18">
        <v>3400</v>
      </c>
      <c r="Q31" s="18">
        <v>1488</v>
      </c>
      <c r="R31" s="18">
        <f>N31*O31</f>
        <v>1912</v>
      </c>
      <c r="S31" s="18">
        <f>N31*P31</f>
        <v>3400</v>
      </c>
      <c r="T31" s="18">
        <f t="shared" si="0"/>
        <v>1488</v>
      </c>
      <c r="U31" s="18">
        <f t="shared" si="1"/>
        <v>-424</v>
      </c>
    </row>
    <row r="32" spans="1:21" hidden="1" x14ac:dyDescent="0.2">
      <c r="A32" s="16" t="s">
        <v>80</v>
      </c>
      <c r="B32" s="17">
        <v>44540</v>
      </c>
      <c r="C32" s="6">
        <v>10</v>
      </c>
      <c r="D32" s="6" t="s">
        <v>20</v>
      </c>
      <c r="E32" s="6">
        <v>2021</v>
      </c>
      <c r="F32" s="16">
        <v>38</v>
      </c>
      <c r="G32" s="6" t="s">
        <v>21</v>
      </c>
      <c r="H32" s="6" t="s">
        <v>28</v>
      </c>
      <c r="I32" s="6" t="s">
        <v>36</v>
      </c>
      <c r="J32" s="6" t="s">
        <v>37</v>
      </c>
      <c r="K32" s="6" t="s">
        <v>25</v>
      </c>
      <c r="L32" s="6" t="s">
        <v>26</v>
      </c>
      <c r="M32" s="7" t="s">
        <v>42</v>
      </c>
      <c r="N32" s="6">
        <v>1</v>
      </c>
      <c r="O32" s="18">
        <v>1252</v>
      </c>
      <c r="P32" s="18">
        <v>2295</v>
      </c>
      <c r="Q32" s="18">
        <v>1043</v>
      </c>
      <c r="R32" s="18">
        <f>N32*O32</f>
        <v>1252</v>
      </c>
      <c r="S32" s="18">
        <f>N32*P32</f>
        <v>2295</v>
      </c>
      <c r="T32" s="18">
        <f t="shared" si="0"/>
        <v>1043</v>
      </c>
      <c r="U32" s="18">
        <f t="shared" si="1"/>
        <v>-209</v>
      </c>
    </row>
    <row r="33" spans="1:21" x14ac:dyDescent="0.2">
      <c r="A33" s="16" t="s">
        <v>81</v>
      </c>
      <c r="B33" s="17">
        <v>44541</v>
      </c>
      <c r="C33" s="6">
        <v>11</v>
      </c>
      <c r="D33" s="6" t="s">
        <v>20</v>
      </c>
      <c r="E33" s="6">
        <v>2021</v>
      </c>
      <c r="F33" s="16">
        <v>24</v>
      </c>
      <c r="G33" s="6" t="s">
        <v>41</v>
      </c>
      <c r="H33" s="6" t="s">
        <v>22</v>
      </c>
      <c r="I33" s="6" t="s">
        <v>82</v>
      </c>
      <c r="J33" s="6" t="s">
        <v>83</v>
      </c>
      <c r="K33" s="6" t="s">
        <v>25</v>
      </c>
      <c r="L33" s="6" t="s">
        <v>26</v>
      </c>
      <c r="M33" s="7" t="s">
        <v>42</v>
      </c>
      <c r="N33" s="6">
        <v>3</v>
      </c>
      <c r="O33" s="18">
        <v>1252</v>
      </c>
      <c r="P33" s="18">
        <v>2295</v>
      </c>
      <c r="Q33" s="18">
        <v>3129</v>
      </c>
      <c r="R33" s="18">
        <f>N33*O33</f>
        <v>3756</v>
      </c>
      <c r="S33" s="18">
        <f>N33*P33</f>
        <v>6885</v>
      </c>
      <c r="T33" s="18">
        <f t="shared" si="0"/>
        <v>3129</v>
      </c>
      <c r="U33" s="18">
        <f t="shared" si="1"/>
        <v>-627</v>
      </c>
    </row>
    <row r="34" spans="1:21" hidden="1" x14ac:dyDescent="0.2">
      <c r="A34" s="16" t="s">
        <v>84</v>
      </c>
      <c r="B34" s="17">
        <v>44541</v>
      </c>
      <c r="C34" s="6">
        <v>11</v>
      </c>
      <c r="D34" s="6" t="s">
        <v>20</v>
      </c>
      <c r="E34" s="6">
        <v>2021</v>
      </c>
      <c r="F34" s="16">
        <v>41</v>
      </c>
      <c r="G34" s="6" t="s">
        <v>21</v>
      </c>
      <c r="H34" s="6" t="s">
        <v>22</v>
      </c>
      <c r="I34" s="6" t="s">
        <v>36</v>
      </c>
      <c r="J34" s="6" t="s">
        <v>37</v>
      </c>
      <c r="K34" s="6" t="s">
        <v>25</v>
      </c>
      <c r="L34" s="6" t="s">
        <v>26</v>
      </c>
      <c r="M34" s="7" t="s">
        <v>61</v>
      </c>
      <c r="N34" s="6">
        <v>2</v>
      </c>
      <c r="O34" s="18">
        <v>420</v>
      </c>
      <c r="P34" s="18">
        <v>769</v>
      </c>
      <c r="Q34" s="18">
        <v>698</v>
      </c>
      <c r="R34" s="18">
        <f>N34*O34</f>
        <v>840</v>
      </c>
      <c r="S34" s="18">
        <f>N34*P34</f>
        <v>1538</v>
      </c>
      <c r="T34" s="18">
        <f t="shared" si="0"/>
        <v>698</v>
      </c>
      <c r="U34" s="18">
        <f t="shared" si="1"/>
        <v>-142</v>
      </c>
    </row>
    <row r="35" spans="1:21" hidden="1" x14ac:dyDescent="0.2">
      <c r="A35" s="16" t="s">
        <v>85</v>
      </c>
      <c r="B35" s="17">
        <v>44541</v>
      </c>
      <c r="C35" s="6">
        <v>11</v>
      </c>
      <c r="D35" s="6" t="s">
        <v>20</v>
      </c>
      <c r="E35" s="6">
        <v>2021</v>
      </c>
      <c r="F35" s="16">
        <v>27</v>
      </c>
      <c r="G35" s="6" t="s">
        <v>35</v>
      </c>
      <c r="H35" s="6" t="s">
        <v>28</v>
      </c>
      <c r="I35" s="6" t="s">
        <v>55</v>
      </c>
      <c r="J35" s="6" t="s">
        <v>56</v>
      </c>
      <c r="K35" s="6" t="s">
        <v>25</v>
      </c>
      <c r="L35" s="6" t="s">
        <v>26</v>
      </c>
      <c r="M35" s="7" t="s">
        <v>27</v>
      </c>
      <c r="N35" s="6">
        <v>1</v>
      </c>
      <c r="O35" s="18">
        <v>1252</v>
      </c>
      <c r="P35" s="18">
        <v>2295</v>
      </c>
      <c r="Q35" s="18">
        <v>1043</v>
      </c>
      <c r="R35" s="18">
        <f>N35*O35</f>
        <v>1252</v>
      </c>
      <c r="S35" s="18">
        <f>N35*P35</f>
        <v>2295</v>
      </c>
      <c r="T35" s="18">
        <f t="shared" si="0"/>
        <v>1043</v>
      </c>
      <c r="U35" s="18">
        <f t="shared" si="1"/>
        <v>-209</v>
      </c>
    </row>
    <row r="36" spans="1:21" hidden="1" x14ac:dyDescent="0.2">
      <c r="A36" s="16" t="s">
        <v>86</v>
      </c>
      <c r="B36" s="17">
        <v>44541</v>
      </c>
      <c r="C36" s="6">
        <v>11</v>
      </c>
      <c r="D36" s="6" t="s">
        <v>20</v>
      </c>
      <c r="E36" s="6">
        <v>2021</v>
      </c>
      <c r="F36" s="16">
        <v>37</v>
      </c>
      <c r="G36" s="6" t="s">
        <v>21</v>
      </c>
      <c r="H36" s="6" t="s">
        <v>28</v>
      </c>
      <c r="I36" s="6" t="s">
        <v>23</v>
      </c>
      <c r="J36" s="6" t="s">
        <v>24</v>
      </c>
      <c r="K36" s="6" t="s">
        <v>25</v>
      </c>
      <c r="L36" s="6" t="s">
        <v>26</v>
      </c>
      <c r="M36" s="7" t="s">
        <v>33</v>
      </c>
      <c r="N36" s="6">
        <v>1</v>
      </c>
      <c r="O36" s="18">
        <v>420</v>
      </c>
      <c r="P36" s="18">
        <v>769</v>
      </c>
      <c r="Q36" s="18">
        <v>349</v>
      </c>
      <c r="R36" s="18">
        <f>N36*O36</f>
        <v>420</v>
      </c>
      <c r="S36" s="18">
        <f>N36*P36</f>
        <v>769</v>
      </c>
      <c r="T36" s="18">
        <f t="shared" si="0"/>
        <v>349</v>
      </c>
      <c r="U36" s="18">
        <f t="shared" si="1"/>
        <v>-71</v>
      </c>
    </row>
    <row r="37" spans="1:21" hidden="1" x14ac:dyDescent="0.2">
      <c r="A37" s="16" t="s">
        <v>87</v>
      </c>
      <c r="B37" s="17">
        <v>44541</v>
      </c>
      <c r="C37" s="6">
        <v>11</v>
      </c>
      <c r="D37" s="6" t="s">
        <v>20</v>
      </c>
      <c r="E37" s="6">
        <v>2021</v>
      </c>
      <c r="F37" s="16">
        <v>38</v>
      </c>
      <c r="G37" s="6" t="s">
        <v>21</v>
      </c>
      <c r="H37" s="6" t="s">
        <v>22</v>
      </c>
      <c r="I37" s="6" t="s">
        <v>23</v>
      </c>
      <c r="J37" s="6" t="s">
        <v>24</v>
      </c>
      <c r="K37" s="6" t="s">
        <v>25</v>
      </c>
      <c r="L37" s="6" t="s">
        <v>26</v>
      </c>
      <c r="M37" s="7" t="s">
        <v>51</v>
      </c>
      <c r="N37" s="6">
        <v>1</v>
      </c>
      <c r="O37" s="18">
        <v>1266</v>
      </c>
      <c r="P37" s="18">
        <v>2320</v>
      </c>
      <c r="Q37" s="18">
        <v>1054</v>
      </c>
      <c r="R37" s="18">
        <f>N37*O37</f>
        <v>1266</v>
      </c>
      <c r="S37" s="18">
        <f>N37*P37</f>
        <v>2320</v>
      </c>
      <c r="T37" s="18">
        <f t="shared" si="0"/>
        <v>1054</v>
      </c>
      <c r="U37" s="18">
        <f t="shared" si="1"/>
        <v>-212</v>
      </c>
    </row>
    <row r="38" spans="1:21" hidden="1" x14ac:dyDescent="0.2">
      <c r="A38" s="16" t="s">
        <v>151</v>
      </c>
      <c r="B38" s="17">
        <v>44554</v>
      </c>
      <c r="C38" s="6">
        <v>24</v>
      </c>
      <c r="D38" s="6" t="s">
        <v>20</v>
      </c>
      <c r="E38" s="6">
        <v>2021</v>
      </c>
      <c r="F38" s="16">
        <v>38</v>
      </c>
      <c r="G38" s="6" t="s">
        <v>21</v>
      </c>
      <c r="H38" s="6" t="s">
        <v>28</v>
      </c>
      <c r="I38" s="6" t="s">
        <v>36</v>
      </c>
      <c r="J38" s="6" t="s">
        <v>50</v>
      </c>
      <c r="K38" s="6" t="s">
        <v>25</v>
      </c>
      <c r="L38" s="6" t="s">
        <v>26</v>
      </c>
      <c r="M38" s="7" t="s">
        <v>57</v>
      </c>
      <c r="N38" s="6">
        <v>4</v>
      </c>
      <c r="O38" s="18">
        <v>1252</v>
      </c>
      <c r="P38" s="18">
        <v>2295</v>
      </c>
      <c r="Q38" s="18">
        <v>4172</v>
      </c>
      <c r="R38" s="18">
        <f>N38*O38</f>
        <v>5008</v>
      </c>
      <c r="S38" s="18">
        <f>N38*P38</f>
        <v>9180</v>
      </c>
      <c r="T38" s="18">
        <f t="shared" si="0"/>
        <v>4172</v>
      </c>
      <c r="U38" s="18">
        <f t="shared" si="1"/>
        <v>-836</v>
      </c>
    </row>
    <row r="39" spans="1:21" hidden="1" x14ac:dyDescent="0.2">
      <c r="A39" s="16" t="s">
        <v>89</v>
      </c>
      <c r="B39" s="17">
        <v>44542</v>
      </c>
      <c r="C39" s="6">
        <v>12</v>
      </c>
      <c r="D39" s="6" t="s">
        <v>20</v>
      </c>
      <c r="E39" s="6">
        <v>2021</v>
      </c>
      <c r="F39" s="16">
        <v>37</v>
      </c>
      <c r="G39" s="6" t="s">
        <v>21</v>
      </c>
      <c r="H39" s="6" t="s">
        <v>28</v>
      </c>
      <c r="I39" s="6" t="s">
        <v>23</v>
      </c>
      <c r="J39" s="6" t="s">
        <v>24</v>
      </c>
      <c r="K39" s="6" t="s">
        <v>25</v>
      </c>
      <c r="L39" s="6" t="s">
        <v>26</v>
      </c>
      <c r="M39" s="7" t="s">
        <v>33</v>
      </c>
      <c r="N39" s="6">
        <v>4</v>
      </c>
      <c r="O39" s="18">
        <v>420</v>
      </c>
      <c r="P39" s="18">
        <v>769</v>
      </c>
      <c r="Q39" s="18">
        <v>1396</v>
      </c>
      <c r="R39" s="18">
        <f>N39*O39</f>
        <v>1680</v>
      </c>
      <c r="S39" s="18">
        <f>N39*P39</f>
        <v>3076</v>
      </c>
      <c r="T39" s="18">
        <f t="shared" si="0"/>
        <v>1396</v>
      </c>
      <c r="U39" s="18">
        <f t="shared" si="1"/>
        <v>-284</v>
      </c>
    </row>
    <row r="40" spans="1:21" hidden="1" x14ac:dyDescent="0.2">
      <c r="A40" s="16" t="s">
        <v>90</v>
      </c>
      <c r="B40" s="17">
        <v>44542</v>
      </c>
      <c r="C40" s="6">
        <v>12</v>
      </c>
      <c r="D40" s="6" t="s">
        <v>20</v>
      </c>
      <c r="E40" s="6">
        <v>2021</v>
      </c>
      <c r="F40" s="16">
        <v>34</v>
      </c>
      <c r="G40" s="6" t="s">
        <v>35</v>
      </c>
      <c r="H40" s="6" t="s">
        <v>28</v>
      </c>
      <c r="I40" s="6" t="s">
        <v>36</v>
      </c>
      <c r="J40" s="6" t="s">
        <v>37</v>
      </c>
      <c r="K40" s="6" t="s">
        <v>25</v>
      </c>
      <c r="L40" s="6" t="s">
        <v>26</v>
      </c>
      <c r="M40" s="7" t="s">
        <v>42</v>
      </c>
      <c r="N40" s="6">
        <v>2</v>
      </c>
      <c r="O40" s="18">
        <v>1252</v>
      </c>
      <c r="P40" s="18">
        <v>2295</v>
      </c>
      <c r="Q40" s="18">
        <v>2086</v>
      </c>
      <c r="R40" s="18">
        <f>N40*O40</f>
        <v>2504</v>
      </c>
      <c r="S40" s="18">
        <f>N40*P40</f>
        <v>4590</v>
      </c>
      <c r="T40" s="18">
        <f t="shared" si="0"/>
        <v>2086</v>
      </c>
      <c r="U40" s="18">
        <f t="shared" si="1"/>
        <v>-418</v>
      </c>
    </row>
    <row r="41" spans="1:21" hidden="1" x14ac:dyDescent="0.2">
      <c r="A41" s="19" t="s">
        <v>43</v>
      </c>
      <c r="B41" s="20">
        <v>44533</v>
      </c>
      <c r="C41" s="8">
        <v>3</v>
      </c>
      <c r="D41" s="8" t="s">
        <v>20</v>
      </c>
      <c r="E41" s="8">
        <v>2021</v>
      </c>
      <c r="F41" s="19">
        <v>37</v>
      </c>
      <c r="G41" s="8" t="s">
        <v>21</v>
      </c>
      <c r="H41" s="8" t="s">
        <v>28</v>
      </c>
      <c r="I41" s="6" t="s">
        <v>23</v>
      </c>
      <c r="J41" s="8" t="s">
        <v>44</v>
      </c>
      <c r="K41" s="8" t="s">
        <v>25</v>
      </c>
      <c r="L41" s="8" t="s">
        <v>26</v>
      </c>
      <c r="M41" s="9" t="s">
        <v>27</v>
      </c>
      <c r="N41" s="8">
        <v>1</v>
      </c>
      <c r="O41" s="21">
        <v>1252</v>
      </c>
      <c r="P41" s="21">
        <v>2295</v>
      </c>
      <c r="Q41" s="21">
        <v>1043</v>
      </c>
      <c r="R41" s="21">
        <f>N41*O41</f>
        <v>1252</v>
      </c>
      <c r="S41" s="21">
        <f>N41*P41</f>
        <v>2295</v>
      </c>
      <c r="T41" s="18">
        <f t="shared" si="0"/>
        <v>1043</v>
      </c>
      <c r="U41" s="18">
        <f t="shared" si="1"/>
        <v>-209</v>
      </c>
    </row>
    <row r="42" spans="1:21" hidden="1" x14ac:dyDescent="0.2">
      <c r="A42" s="16" t="s">
        <v>62</v>
      </c>
      <c r="B42" s="17">
        <v>44537</v>
      </c>
      <c r="C42" s="6">
        <v>7</v>
      </c>
      <c r="D42" s="6" t="s">
        <v>20</v>
      </c>
      <c r="E42" s="6">
        <v>2021</v>
      </c>
      <c r="F42" s="16">
        <v>38</v>
      </c>
      <c r="G42" s="6" t="s">
        <v>21</v>
      </c>
      <c r="H42" s="6" t="s">
        <v>28</v>
      </c>
      <c r="I42" s="6" t="s">
        <v>23</v>
      </c>
      <c r="J42" s="6" t="s">
        <v>24</v>
      </c>
      <c r="K42" s="6" t="s">
        <v>25</v>
      </c>
      <c r="L42" s="6" t="s">
        <v>26</v>
      </c>
      <c r="M42" s="7" t="s">
        <v>31</v>
      </c>
      <c r="N42" s="6">
        <v>2</v>
      </c>
      <c r="O42" s="18">
        <v>1266</v>
      </c>
      <c r="P42" s="18">
        <v>2320</v>
      </c>
      <c r="Q42" s="18">
        <v>2108</v>
      </c>
      <c r="R42" s="18">
        <f>N42*O42</f>
        <v>2532</v>
      </c>
      <c r="S42" s="18">
        <f>N42*P42</f>
        <v>4640</v>
      </c>
      <c r="T42" s="18">
        <f t="shared" si="0"/>
        <v>2108</v>
      </c>
      <c r="U42" s="18">
        <f t="shared" si="1"/>
        <v>-424</v>
      </c>
    </row>
    <row r="43" spans="1:21" hidden="1" x14ac:dyDescent="0.2">
      <c r="A43" s="16" t="s">
        <v>71</v>
      </c>
      <c r="B43" s="17">
        <v>44539</v>
      </c>
      <c r="C43" s="6">
        <v>9</v>
      </c>
      <c r="D43" s="6" t="s">
        <v>20</v>
      </c>
      <c r="E43" s="6">
        <v>2021</v>
      </c>
      <c r="F43" s="16">
        <v>41</v>
      </c>
      <c r="G43" s="6" t="s">
        <v>21</v>
      </c>
      <c r="H43" s="6" t="s">
        <v>22</v>
      </c>
      <c r="I43" s="6" t="s">
        <v>47</v>
      </c>
      <c r="J43" s="6" t="s">
        <v>72</v>
      </c>
      <c r="K43" s="6" t="s">
        <v>25</v>
      </c>
      <c r="L43" s="6" t="s">
        <v>26</v>
      </c>
      <c r="M43" s="7" t="s">
        <v>31</v>
      </c>
      <c r="N43" s="6">
        <v>1</v>
      </c>
      <c r="O43" s="18">
        <v>1266</v>
      </c>
      <c r="P43" s="18">
        <v>2320</v>
      </c>
      <c r="Q43" s="18">
        <v>1054</v>
      </c>
      <c r="R43" s="18">
        <f>N43*O43</f>
        <v>1266</v>
      </c>
      <c r="S43" s="18">
        <f>N43*P43</f>
        <v>2320</v>
      </c>
      <c r="T43" s="18">
        <f t="shared" si="0"/>
        <v>1054</v>
      </c>
      <c r="U43" s="18">
        <f t="shared" si="1"/>
        <v>-212</v>
      </c>
    </row>
    <row r="44" spans="1:21" hidden="1" x14ac:dyDescent="0.2">
      <c r="A44" s="16" t="s">
        <v>94</v>
      </c>
      <c r="B44" s="17">
        <v>44543</v>
      </c>
      <c r="C44" s="6">
        <v>13</v>
      </c>
      <c r="D44" s="6" t="s">
        <v>20</v>
      </c>
      <c r="E44" s="6">
        <v>2021</v>
      </c>
      <c r="F44" s="16">
        <v>40</v>
      </c>
      <c r="G44" s="6" t="s">
        <v>21</v>
      </c>
      <c r="H44" s="6" t="s">
        <v>22</v>
      </c>
      <c r="I44" s="6" t="s">
        <v>23</v>
      </c>
      <c r="J44" s="6" t="s">
        <v>24</v>
      </c>
      <c r="K44" s="6" t="s">
        <v>25</v>
      </c>
      <c r="L44" s="6" t="s">
        <v>26</v>
      </c>
      <c r="M44" s="7" t="s">
        <v>95</v>
      </c>
      <c r="N44" s="6">
        <v>1</v>
      </c>
      <c r="O44" s="18">
        <v>308</v>
      </c>
      <c r="P44" s="18">
        <v>565</v>
      </c>
      <c r="Q44" s="18">
        <v>257</v>
      </c>
      <c r="R44" s="18">
        <f>N44*O44</f>
        <v>308</v>
      </c>
      <c r="S44" s="18">
        <f>N44*P44</f>
        <v>565</v>
      </c>
      <c r="T44" s="18">
        <f t="shared" si="0"/>
        <v>257</v>
      </c>
      <c r="U44" s="18">
        <f t="shared" si="1"/>
        <v>-51</v>
      </c>
    </row>
    <row r="45" spans="1:21" hidden="1" x14ac:dyDescent="0.2">
      <c r="A45" s="16" t="s">
        <v>96</v>
      </c>
      <c r="B45" s="17">
        <v>44543</v>
      </c>
      <c r="C45" s="6">
        <v>13</v>
      </c>
      <c r="D45" s="6" t="s">
        <v>20</v>
      </c>
      <c r="E45" s="6">
        <v>2021</v>
      </c>
      <c r="F45" s="16">
        <v>44</v>
      </c>
      <c r="G45" s="6" t="s">
        <v>21</v>
      </c>
      <c r="H45" s="6" t="s">
        <v>22</v>
      </c>
      <c r="I45" s="6" t="s">
        <v>29</v>
      </c>
      <c r="J45" s="6" t="s">
        <v>30</v>
      </c>
      <c r="K45" s="6" t="s">
        <v>25</v>
      </c>
      <c r="L45" s="6" t="s">
        <v>26</v>
      </c>
      <c r="M45" s="7" t="s">
        <v>42</v>
      </c>
      <c r="N45" s="6">
        <v>1</v>
      </c>
      <c r="O45" s="18">
        <v>1252</v>
      </c>
      <c r="P45" s="18">
        <v>2295</v>
      </c>
      <c r="Q45" s="18">
        <v>1043</v>
      </c>
      <c r="R45" s="18">
        <f>N45*O45</f>
        <v>1252</v>
      </c>
      <c r="S45" s="18">
        <f>N45*P45</f>
        <v>2295</v>
      </c>
      <c r="T45" s="18">
        <f t="shared" si="0"/>
        <v>1043</v>
      </c>
      <c r="U45" s="18">
        <f t="shared" si="1"/>
        <v>-209</v>
      </c>
    </row>
    <row r="46" spans="1:21" hidden="1" x14ac:dyDescent="0.2">
      <c r="A46" s="16" t="s">
        <v>97</v>
      </c>
      <c r="B46" s="17">
        <v>44543</v>
      </c>
      <c r="C46" s="6">
        <v>13</v>
      </c>
      <c r="D46" s="6" t="s">
        <v>20</v>
      </c>
      <c r="E46" s="6">
        <v>2021</v>
      </c>
      <c r="F46" s="16">
        <v>49</v>
      </c>
      <c r="G46" s="6" t="s">
        <v>21</v>
      </c>
      <c r="H46" s="6" t="s">
        <v>28</v>
      </c>
      <c r="I46" s="6" t="s">
        <v>29</v>
      </c>
      <c r="J46" s="6" t="s">
        <v>30</v>
      </c>
      <c r="K46" s="6" t="s">
        <v>25</v>
      </c>
      <c r="L46" s="6" t="s">
        <v>26</v>
      </c>
      <c r="M46" s="7" t="s">
        <v>42</v>
      </c>
      <c r="N46" s="6">
        <v>1</v>
      </c>
      <c r="O46" s="18">
        <v>1252</v>
      </c>
      <c r="P46" s="18">
        <v>2295</v>
      </c>
      <c r="Q46" s="18">
        <v>1043</v>
      </c>
      <c r="R46" s="18">
        <f>N46*O46</f>
        <v>1252</v>
      </c>
      <c r="S46" s="18">
        <f>N46*P46</f>
        <v>2295</v>
      </c>
      <c r="T46" s="18">
        <f t="shared" si="0"/>
        <v>1043</v>
      </c>
      <c r="U46" s="18">
        <f t="shared" si="1"/>
        <v>-209</v>
      </c>
    </row>
    <row r="47" spans="1:21" hidden="1" x14ac:dyDescent="0.2">
      <c r="A47" s="16" t="s">
        <v>98</v>
      </c>
      <c r="B47" s="17">
        <v>44544</v>
      </c>
      <c r="C47" s="6">
        <v>14</v>
      </c>
      <c r="D47" s="6" t="s">
        <v>20</v>
      </c>
      <c r="E47" s="6">
        <v>2021</v>
      </c>
      <c r="F47" s="16">
        <v>30</v>
      </c>
      <c r="G47" s="6" t="s">
        <v>35</v>
      </c>
      <c r="H47" s="6" t="s">
        <v>22</v>
      </c>
      <c r="I47" s="6" t="s">
        <v>23</v>
      </c>
      <c r="J47" s="6" t="s">
        <v>44</v>
      </c>
      <c r="K47" s="6" t="s">
        <v>25</v>
      </c>
      <c r="L47" s="6" t="s">
        <v>26</v>
      </c>
      <c r="M47" s="7" t="s">
        <v>51</v>
      </c>
      <c r="N47" s="6">
        <v>2</v>
      </c>
      <c r="O47" s="18">
        <v>1266</v>
      </c>
      <c r="P47" s="18">
        <v>2320</v>
      </c>
      <c r="Q47" s="18">
        <v>2108</v>
      </c>
      <c r="R47" s="18">
        <f>N47*O47</f>
        <v>2532</v>
      </c>
      <c r="S47" s="18">
        <f>N47*P47</f>
        <v>4640</v>
      </c>
      <c r="T47" s="18">
        <f t="shared" si="0"/>
        <v>2108</v>
      </c>
      <c r="U47" s="18">
        <f t="shared" si="1"/>
        <v>-424</v>
      </c>
    </row>
    <row r="48" spans="1:21" hidden="1" x14ac:dyDescent="0.2">
      <c r="A48" s="16" t="s">
        <v>99</v>
      </c>
      <c r="B48" s="17">
        <v>44544</v>
      </c>
      <c r="C48" s="6">
        <v>14</v>
      </c>
      <c r="D48" s="6" t="s">
        <v>20</v>
      </c>
      <c r="E48" s="6">
        <v>2021</v>
      </c>
      <c r="F48" s="16">
        <v>32</v>
      </c>
      <c r="G48" s="6" t="s">
        <v>35</v>
      </c>
      <c r="H48" s="6" t="s">
        <v>28</v>
      </c>
      <c r="I48" s="6" t="s">
        <v>23</v>
      </c>
      <c r="J48" s="6" t="s">
        <v>24</v>
      </c>
      <c r="K48" s="6" t="s">
        <v>25</v>
      </c>
      <c r="L48" s="6" t="s">
        <v>26</v>
      </c>
      <c r="M48" s="7" t="s">
        <v>27</v>
      </c>
      <c r="N48" s="6">
        <v>1</v>
      </c>
      <c r="O48" s="18">
        <v>1252</v>
      </c>
      <c r="P48" s="18">
        <v>2295</v>
      </c>
      <c r="Q48" s="18">
        <v>1043</v>
      </c>
      <c r="R48" s="18">
        <f>N48*O48</f>
        <v>1252</v>
      </c>
      <c r="S48" s="18">
        <f>N48*P48</f>
        <v>2295</v>
      </c>
      <c r="T48" s="18">
        <f t="shared" si="0"/>
        <v>1043</v>
      </c>
      <c r="U48" s="18">
        <f t="shared" si="1"/>
        <v>-209</v>
      </c>
    </row>
    <row r="49" spans="1:21" hidden="1" x14ac:dyDescent="0.2">
      <c r="A49" s="16" t="s">
        <v>100</v>
      </c>
      <c r="B49" s="17">
        <v>44544</v>
      </c>
      <c r="C49" s="6">
        <v>14</v>
      </c>
      <c r="D49" s="6" t="s">
        <v>20</v>
      </c>
      <c r="E49" s="6">
        <v>2021</v>
      </c>
      <c r="F49" s="16">
        <v>32</v>
      </c>
      <c r="G49" s="6" t="s">
        <v>35</v>
      </c>
      <c r="H49" s="6" t="s">
        <v>22</v>
      </c>
      <c r="I49" s="6" t="s">
        <v>36</v>
      </c>
      <c r="J49" s="6" t="s">
        <v>69</v>
      </c>
      <c r="K49" s="6" t="s">
        <v>25</v>
      </c>
      <c r="L49" s="6" t="s">
        <v>26</v>
      </c>
      <c r="M49" s="7" t="s">
        <v>33</v>
      </c>
      <c r="N49" s="6">
        <v>1</v>
      </c>
      <c r="O49" s="18">
        <v>420</v>
      </c>
      <c r="P49" s="18">
        <v>769</v>
      </c>
      <c r="Q49" s="18">
        <v>349</v>
      </c>
      <c r="R49" s="18">
        <f>N49*O49</f>
        <v>420</v>
      </c>
      <c r="S49" s="18">
        <f>N49*P49</f>
        <v>769</v>
      </c>
      <c r="T49" s="18">
        <f t="shared" si="0"/>
        <v>349</v>
      </c>
      <c r="U49" s="18">
        <f t="shared" si="1"/>
        <v>-71</v>
      </c>
    </row>
    <row r="50" spans="1:21" hidden="1" x14ac:dyDescent="0.2">
      <c r="A50" s="16" t="s">
        <v>88</v>
      </c>
      <c r="B50" s="17">
        <v>44542</v>
      </c>
      <c r="C50" s="6">
        <v>12</v>
      </c>
      <c r="D50" s="6" t="s">
        <v>20</v>
      </c>
      <c r="E50" s="6">
        <v>2021</v>
      </c>
      <c r="F50" s="16">
        <v>36</v>
      </c>
      <c r="G50" s="6" t="s">
        <v>21</v>
      </c>
      <c r="H50" s="6" t="s">
        <v>22</v>
      </c>
      <c r="I50" s="6" t="s">
        <v>36</v>
      </c>
      <c r="J50" s="6" t="s">
        <v>37</v>
      </c>
      <c r="K50" s="6" t="s">
        <v>25</v>
      </c>
      <c r="L50" s="6" t="s">
        <v>26</v>
      </c>
      <c r="M50" s="7" t="s">
        <v>31</v>
      </c>
      <c r="N50" s="6">
        <v>4</v>
      </c>
      <c r="O50" s="18">
        <v>1266</v>
      </c>
      <c r="P50" s="18">
        <v>2320</v>
      </c>
      <c r="Q50" s="18">
        <v>4216</v>
      </c>
      <c r="R50" s="18">
        <f>N50*O50</f>
        <v>5064</v>
      </c>
      <c r="S50" s="18">
        <f>N50*P50</f>
        <v>9280</v>
      </c>
      <c r="T50" s="18">
        <f t="shared" si="0"/>
        <v>4216</v>
      </c>
      <c r="U50" s="18">
        <f t="shared" si="1"/>
        <v>-848</v>
      </c>
    </row>
    <row r="51" spans="1:21" hidden="1" x14ac:dyDescent="0.2">
      <c r="A51" s="16" t="s">
        <v>102</v>
      </c>
      <c r="B51" s="17">
        <v>44546</v>
      </c>
      <c r="C51" s="6">
        <v>16</v>
      </c>
      <c r="D51" s="6" t="s">
        <v>20</v>
      </c>
      <c r="E51" s="6">
        <v>2021</v>
      </c>
      <c r="F51" s="16">
        <v>33</v>
      </c>
      <c r="G51" s="6" t="s">
        <v>35</v>
      </c>
      <c r="H51" s="6" t="s">
        <v>22</v>
      </c>
      <c r="I51" s="6" t="s">
        <v>36</v>
      </c>
      <c r="J51" s="6" t="s">
        <v>37</v>
      </c>
      <c r="K51" s="6" t="s">
        <v>25</v>
      </c>
      <c r="L51" s="6" t="s">
        <v>26</v>
      </c>
      <c r="M51" s="7" t="s">
        <v>42</v>
      </c>
      <c r="N51" s="6">
        <v>2</v>
      </c>
      <c r="O51" s="18">
        <v>1252</v>
      </c>
      <c r="P51" s="18">
        <v>2295</v>
      </c>
      <c r="Q51" s="18">
        <v>2086</v>
      </c>
      <c r="R51" s="18">
        <f>N51*O51</f>
        <v>2504</v>
      </c>
      <c r="S51" s="18">
        <f>N51*P51</f>
        <v>4590</v>
      </c>
      <c r="T51" s="18">
        <f t="shared" si="0"/>
        <v>2086</v>
      </c>
      <c r="U51" s="18">
        <f t="shared" si="1"/>
        <v>-418</v>
      </c>
    </row>
    <row r="52" spans="1:21" hidden="1" x14ac:dyDescent="0.2">
      <c r="A52" s="16" t="s">
        <v>103</v>
      </c>
      <c r="B52" s="17">
        <v>44546</v>
      </c>
      <c r="C52" s="6">
        <v>16</v>
      </c>
      <c r="D52" s="6" t="s">
        <v>20</v>
      </c>
      <c r="E52" s="6">
        <v>2021</v>
      </c>
      <c r="F52" s="16">
        <v>38</v>
      </c>
      <c r="G52" s="6" t="s">
        <v>21</v>
      </c>
      <c r="H52" s="6" t="s">
        <v>28</v>
      </c>
      <c r="I52" s="6" t="s">
        <v>36</v>
      </c>
      <c r="J52" s="6" t="s">
        <v>37</v>
      </c>
      <c r="K52" s="6" t="s">
        <v>25</v>
      </c>
      <c r="L52" s="6" t="s">
        <v>26</v>
      </c>
      <c r="M52" s="7" t="s">
        <v>42</v>
      </c>
      <c r="N52" s="6">
        <v>2</v>
      </c>
      <c r="O52" s="18">
        <v>1252</v>
      </c>
      <c r="P52" s="18">
        <v>2295</v>
      </c>
      <c r="Q52" s="18">
        <v>2086</v>
      </c>
      <c r="R52" s="18">
        <f>N52*O52</f>
        <v>2504</v>
      </c>
      <c r="S52" s="18">
        <f>N52*P52</f>
        <v>4590</v>
      </c>
      <c r="T52" s="18">
        <f t="shared" si="0"/>
        <v>2086</v>
      </c>
      <c r="U52" s="18">
        <f t="shared" si="1"/>
        <v>-418</v>
      </c>
    </row>
    <row r="53" spans="1:21" x14ac:dyDescent="0.2">
      <c r="A53" s="16" t="s">
        <v>104</v>
      </c>
      <c r="B53" s="17">
        <v>44546</v>
      </c>
      <c r="C53" s="6">
        <v>16</v>
      </c>
      <c r="D53" s="6" t="s">
        <v>20</v>
      </c>
      <c r="E53" s="6">
        <v>2021</v>
      </c>
      <c r="F53" s="16">
        <v>27</v>
      </c>
      <c r="G53" s="6" t="s">
        <v>35</v>
      </c>
      <c r="H53" s="6" t="s">
        <v>22</v>
      </c>
      <c r="I53" s="6" t="s">
        <v>82</v>
      </c>
      <c r="J53" s="6" t="s">
        <v>105</v>
      </c>
      <c r="K53" s="6" t="s">
        <v>25</v>
      </c>
      <c r="L53" s="6" t="s">
        <v>26</v>
      </c>
      <c r="M53" s="7" t="s">
        <v>106</v>
      </c>
      <c r="N53" s="6">
        <v>1</v>
      </c>
      <c r="O53" s="18">
        <v>1266</v>
      </c>
      <c r="P53" s="18">
        <v>2320</v>
      </c>
      <c r="Q53" s="18">
        <v>1054</v>
      </c>
      <c r="R53" s="18">
        <f>N53*O53</f>
        <v>1266</v>
      </c>
      <c r="S53" s="18">
        <f>N53*P53</f>
        <v>2320</v>
      </c>
      <c r="T53" s="18">
        <f t="shared" si="0"/>
        <v>1054</v>
      </c>
      <c r="U53" s="18">
        <f t="shared" si="1"/>
        <v>-212</v>
      </c>
    </row>
    <row r="54" spans="1:21" hidden="1" x14ac:dyDescent="0.2">
      <c r="A54" s="16" t="s">
        <v>107</v>
      </c>
      <c r="B54" s="17">
        <v>44547</v>
      </c>
      <c r="C54" s="6">
        <v>17</v>
      </c>
      <c r="D54" s="6" t="s">
        <v>20</v>
      </c>
      <c r="E54" s="6">
        <v>2021</v>
      </c>
      <c r="F54" s="16">
        <v>37</v>
      </c>
      <c r="G54" s="6" t="s">
        <v>21</v>
      </c>
      <c r="H54" s="6" t="s">
        <v>22</v>
      </c>
      <c r="I54" s="6" t="s">
        <v>23</v>
      </c>
      <c r="J54" s="6" t="s">
        <v>44</v>
      </c>
      <c r="K54" s="6" t="s">
        <v>25</v>
      </c>
      <c r="L54" s="6" t="s">
        <v>26</v>
      </c>
      <c r="M54" s="7" t="s">
        <v>51</v>
      </c>
      <c r="N54" s="6">
        <v>2</v>
      </c>
      <c r="O54" s="18">
        <v>1266</v>
      </c>
      <c r="P54" s="18">
        <v>2320</v>
      </c>
      <c r="Q54" s="18">
        <v>2108</v>
      </c>
      <c r="R54" s="18">
        <f>N54*O54</f>
        <v>2532</v>
      </c>
      <c r="S54" s="18">
        <f>N54*P54</f>
        <v>4640</v>
      </c>
      <c r="T54" s="18">
        <f t="shared" si="0"/>
        <v>2108</v>
      </c>
      <c r="U54" s="18">
        <f t="shared" si="1"/>
        <v>-424</v>
      </c>
    </row>
    <row r="55" spans="1:21" hidden="1" x14ac:dyDescent="0.2">
      <c r="A55" s="16" t="s">
        <v>108</v>
      </c>
      <c r="B55" s="17">
        <v>44547</v>
      </c>
      <c r="C55" s="6">
        <v>17</v>
      </c>
      <c r="D55" s="6" t="s">
        <v>20</v>
      </c>
      <c r="E55" s="6">
        <v>2021</v>
      </c>
      <c r="F55" s="16">
        <v>31</v>
      </c>
      <c r="G55" s="6" t="s">
        <v>35</v>
      </c>
      <c r="H55" s="6" t="s">
        <v>28</v>
      </c>
      <c r="I55" s="6" t="s">
        <v>36</v>
      </c>
      <c r="J55" s="6" t="s">
        <v>37</v>
      </c>
      <c r="K55" s="6" t="s">
        <v>25</v>
      </c>
      <c r="L55" s="6" t="s">
        <v>26</v>
      </c>
      <c r="M55" s="7" t="s">
        <v>38</v>
      </c>
      <c r="N55" s="6">
        <v>1</v>
      </c>
      <c r="O55" s="18">
        <v>420</v>
      </c>
      <c r="P55" s="18">
        <v>769</v>
      </c>
      <c r="Q55" s="18">
        <v>349</v>
      </c>
      <c r="R55" s="18">
        <f>N55*O55</f>
        <v>420</v>
      </c>
      <c r="S55" s="18">
        <f>N55*P55</f>
        <v>769</v>
      </c>
      <c r="T55" s="18">
        <f t="shared" si="0"/>
        <v>349</v>
      </c>
      <c r="U55" s="18">
        <f t="shared" si="1"/>
        <v>-71</v>
      </c>
    </row>
    <row r="56" spans="1:21" hidden="1" x14ac:dyDescent="0.2">
      <c r="A56" s="16" t="s">
        <v>109</v>
      </c>
      <c r="B56" s="17">
        <v>44547</v>
      </c>
      <c r="C56" s="6">
        <v>17</v>
      </c>
      <c r="D56" s="6" t="s">
        <v>20</v>
      </c>
      <c r="E56" s="6">
        <v>2021</v>
      </c>
      <c r="F56" s="16">
        <v>42</v>
      </c>
      <c r="G56" s="6" t="s">
        <v>21</v>
      </c>
      <c r="H56" s="6" t="s">
        <v>22</v>
      </c>
      <c r="I56" s="6" t="s">
        <v>47</v>
      </c>
      <c r="J56" s="6" t="s">
        <v>48</v>
      </c>
      <c r="K56" s="6" t="s">
        <v>25</v>
      </c>
      <c r="L56" s="6" t="s">
        <v>26</v>
      </c>
      <c r="M56" s="7" t="s">
        <v>106</v>
      </c>
      <c r="N56" s="6">
        <v>1</v>
      </c>
      <c r="O56" s="18">
        <v>1266</v>
      </c>
      <c r="P56" s="18">
        <v>2320</v>
      </c>
      <c r="Q56" s="18">
        <v>1054</v>
      </c>
      <c r="R56" s="18">
        <f>N56*O56</f>
        <v>1266</v>
      </c>
      <c r="S56" s="18">
        <f>N56*P56</f>
        <v>2320</v>
      </c>
      <c r="T56" s="18">
        <f t="shared" si="0"/>
        <v>1054</v>
      </c>
      <c r="U56" s="18">
        <f t="shared" si="1"/>
        <v>-212</v>
      </c>
    </row>
    <row r="57" spans="1:21" hidden="1" x14ac:dyDescent="0.2">
      <c r="A57" s="16" t="s">
        <v>110</v>
      </c>
      <c r="B57" s="17">
        <v>44548</v>
      </c>
      <c r="C57" s="6">
        <v>18</v>
      </c>
      <c r="D57" s="6" t="s">
        <v>20</v>
      </c>
      <c r="E57" s="6">
        <v>2021</v>
      </c>
      <c r="F57" s="16">
        <v>35</v>
      </c>
      <c r="G57" s="6" t="s">
        <v>21</v>
      </c>
      <c r="H57" s="6" t="s">
        <v>22</v>
      </c>
      <c r="I57" s="6" t="s">
        <v>36</v>
      </c>
      <c r="J57" s="6" t="s">
        <v>37</v>
      </c>
      <c r="K57" s="6" t="s">
        <v>25</v>
      </c>
      <c r="L57" s="6" t="s">
        <v>26</v>
      </c>
      <c r="M57" s="7" t="s">
        <v>64</v>
      </c>
      <c r="N57" s="6">
        <v>4</v>
      </c>
      <c r="O57" s="18">
        <v>308</v>
      </c>
      <c r="P57" s="18">
        <v>565</v>
      </c>
      <c r="Q57" s="18">
        <v>1028</v>
      </c>
      <c r="R57" s="18">
        <f>N57*O57</f>
        <v>1232</v>
      </c>
      <c r="S57" s="18">
        <f>N57*P57</f>
        <v>2260</v>
      </c>
      <c r="T57" s="18">
        <f t="shared" si="0"/>
        <v>1028</v>
      </c>
      <c r="U57" s="18">
        <f t="shared" si="1"/>
        <v>-204</v>
      </c>
    </row>
    <row r="58" spans="1:21" hidden="1" x14ac:dyDescent="0.2">
      <c r="A58" s="16" t="s">
        <v>111</v>
      </c>
      <c r="B58" s="17">
        <v>44548</v>
      </c>
      <c r="C58" s="6">
        <v>18</v>
      </c>
      <c r="D58" s="6" t="s">
        <v>20</v>
      </c>
      <c r="E58" s="6">
        <v>2021</v>
      </c>
      <c r="F58" s="16">
        <v>38</v>
      </c>
      <c r="G58" s="6" t="s">
        <v>21</v>
      </c>
      <c r="H58" s="6" t="s">
        <v>22</v>
      </c>
      <c r="I58" s="6" t="s">
        <v>47</v>
      </c>
      <c r="J58" s="6" t="s">
        <v>48</v>
      </c>
      <c r="K58" s="6" t="s">
        <v>25</v>
      </c>
      <c r="L58" s="6" t="s">
        <v>26</v>
      </c>
      <c r="M58" s="7" t="s">
        <v>106</v>
      </c>
      <c r="N58" s="6">
        <v>4</v>
      </c>
      <c r="O58" s="18">
        <v>1266</v>
      </c>
      <c r="P58" s="18">
        <v>2320</v>
      </c>
      <c r="Q58" s="18">
        <v>4216</v>
      </c>
      <c r="R58" s="18">
        <f>N58*O58</f>
        <v>5064</v>
      </c>
      <c r="S58" s="18">
        <f>N58*P58</f>
        <v>9280</v>
      </c>
      <c r="T58" s="18">
        <f t="shared" si="0"/>
        <v>4216</v>
      </c>
      <c r="U58" s="18">
        <f t="shared" si="1"/>
        <v>-848</v>
      </c>
    </row>
    <row r="59" spans="1:21" x14ac:dyDescent="0.2">
      <c r="A59" s="16" t="s">
        <v>112</v>
      </c>
      <c r="B59" s="17">
        <v>44548</v>
      </c>
      <c r="C59" s="6">
        <v>18</v>
      </c>
      <c r="D59" s="6" t="s">
        <v>20</v>
      </c>
      <c r="E59" s="6">
        <v>2021</v>
      </c>
      <c r="F59" s="16">
        <v>24</v>
      </c>
      <c r="G59" s="6" t="s">
        <v>41</v>
      </c>
      <c r="H59" s="6" t="s">
        <v>22</v>
      </c>
      <c r="I59" s="6" t="s">
        <v>82</v>
      </c>
      <c r="J59" s="6" t="s">
        <v>113</v>
      </c>
      <c r="K59" s="6" t="s">
        <v>25</v>
      </c>
      <c r="L59" s="6" t="s">
        <v>26</v>
      </c>
      <c r="M59" s="7" t="s">
        <v>51</v>
      </c>
      <c r="N59" s="6">
        <v>3</v>
      </c>
      <c r="O59" s="18">
        <v>1266</v>
      </c>
      <c r="P59" s="18">
        <v>2320</v>
      </c>
      <c r="Q59" s="18">
        <v>3162</v>
      </c>
      <c r="R59" s="18">
        <f>N59*O59</f>
        <v>3798</v>
      </c>
      <c r="S59" s="18">
        <f>N59*P59</f>
        <v>6960</v>
      </c>
      <c r="T59" s="18">
        <f t="shared" si="0"/>
        <v>3162</v>
      </c>
      <c r="U59" s="18">
        <f t="shared" si="1"/>
        <v>-636</v>
      </c>
    </row>
    <row r="60" spans="1:21" hidden="1" x14ac:dyDescent="0.2">
      <c r="A60" s="16" t="s">
        <v>114</v>
      </c>
      <c r="B60" s="17">
        <v>44548</v>
      </c>
      <c r="C60" s="6">
        <v>18</v>
      </c>
      <c r="D60" s="6" t="s">
        <v>20</v>
      </c>
      <c r="E60" s="6">
        <v>2021</v>
      </c>
      <c r="F60" s="16">
        <v>26</v>
      </c>
      <c r="G60" s="6" t="s">
        <v>35</v>
      </c>
      <c r="H60" s="6" t="s">
        <v>22</v>
      </c>
      <c r="I60" s="6" t="s">
        <v>29</v>
      </c>
      <c r="J60" s="6" t="s">
        <v>30</v>
      </c>
      <c r="K60" s="6" t="s">
        <v>25</v>
      </c>
      <c r="L60" s="6" t="s">
        <v>26</v>
      </c>
      <c r="M60" s="7" t="s">
        <v>38</v>
      </c>
      <c r="N60" s="6">
        <v>3</v>
      </c>
      <c r="O60" s="18">
        <v>420</v>
      </c>
      <c r="P60" s="18">
        <v>769</v>
      </c>
      <c r="Q60" s="18">
        <v>1047</v>
      </c>
      <c r="R60" s="18">
        <f>N60*O60</f>
        <v>1260</v>
      </c>
      <c r="S60" s="18">
        <f>N60*P60</f>
        <v>2307</v>
      </c>
      <c r="T60" s="18">
        <f t="shared" si="0"/>
        <v>1047</v>
      </c>
      <c r="U60" s="18">
        <f t="shared" si="1"/>
        <v>-213</v>
      </c>
    </row>
    <row r="61" spans="1:21" hidden="1" x14ac:dyDescent="0.2">
      <c r="A61" s="16" t="s">
        <v>91</v>
      </c>
      <c r="B61" s="17">
        <v>44542</v>
      </c>
      <c r="C61" s="6">
        <v>12</v>
      </c>
      <c r="D61" s="6" t="s">
        <v>20</v>
      </c>
      <c r="E61" s="6">
        <v>2021</v>
      </c>
      <c r="F61" s="16">
        <v>35</v>
      </c>
      <c r="G61" s="6" t="s">
        <v>21</v>
      </c>
      <c r="H61" s="6" t="s">
        <v>22</v>
      </c>
      <c r="I61" s="6" t="s">
        <v>36</v>
      </c>
      <c r="J61" s="6" t="s">
        <v>69</v>
      </c>
      <c r="K61" s="6" t="s">
        <v>25</v>
      </c>
      <c r="L61" s="6" t="s">
        <v>26</v>
      </c>
      <c r="M61" s="7" t="s">
        <v>31</v>
      </c>
      <c r="N61" s="6">
        <v>1</v>
      </c>
      <c r="O61" s="18">
        <v>1266</v>
      </c>
      <c r="P61" s="18">
        <v>2320</v>
      </c>
      <c r="Q61" s="18">
        <v>1054</v>
      </c>
      <c r="R61" s="18">
        <f>N61*O61</f>
        <v>1266</v>
      </c>
      <c r="S61" s="18">
        <f>N61*P61</f>
        <v>2320</v>
      </c>
      <c r="T61" s="18">
        <f t="shared" si="0"/>
        <v>1054</v>
      </c>
      <c r="U61" s="18">
        <f t="shared" si="1"/>
        <v>-212</v>
      </c>
    </row>
    <row r="62" spans="1:21" x14ac:dyDescent="0.2">
      <c r="A62" s="16" t="s">
        <v>116</v>
      </c>
      <c r="B62" s="17">
        <v>44548</v>
      </c>
      <c r="C62" s="6">
        <v>18</v>
      </c>
      <c r="D62" s="6" t="s">
        <v>20</v>
      </c>
      <c r="E62" s="6">
        <v>2021</v>
      </c>
      <c r="F62" s="16">
        <v>26</v>
      </c>
      <c r="G62" s="6" t="s">
        <v>35</v>
      </c>
      <c r="H62" s="6" t="s">
        <v>28</v>
      </c>
      <c r="I62" s="6" t="s">
        <v>82</v>
      </c>
      <c r="J62" s="6" t="s">
        <v>83</v>
      </c>
      <c r="K62" s="6" t="s">
        <v>25</v>
      </c>
      <c r="L62" s="6" t="s">
        <v>26</v>
      </c>
      <c r="M62" s="7" t="s">
        <v>27</v>
      </c>
      <c r="N62" s="6">
        <v>1</v>
      </c>
      <c r="O62" s="18">
        <v>1252</v>
      </c>
      <c r="P62" s="18">
        <v>2295</v>
      </c>
      <c r="Q62" s="18">
        <v>1043</v>
      </c>
      <c r="R62" s="18">
        <f>N62*O62</f>
        <v>1252</v>
      </c>
      <c r="S62" s="18">
        <f>N62*P62</f>
        <v>2295</v>
      </c>
      <c r="T62" s="18">
        <f t="shared" si="0"/>
        <v>1043</v>
      </c>
      <c r="U62" s="18">
        <f t="shared" si="1"/>
        <v>-209</v>
      </c>
    </row>
    <row r="63" spans="1:21" hidden="1" x14ac:dyDescent="0.2">
      <c r="A63" s="16" t="s">
        <v>117</v>
      </c>
      <c r="B63" s="17">
        <v>44548</v>
      </c>
      <c r="C63" s="6">
        <v>18</v>
      </c>
      <c r="D63" s="6" t="s">
        <v>20</v>
      </c>
      <c r="E63" s="6">
        <v>2021</v>
      </c>
      <c r="F63" s="16">
        <v>36</v>
      </c>
      <c r="G63" s="6" t="s">
        <v>21</v>
      </c>
      <c r="H63" s="6" t="s">
        <v>28</v>
      </c>
      <c r="I63" s="6" t="s">
        <v>23</v>
      </c>
      <c r="J63" s="6" t="s">
        <v>44</v>
      </c>
      <c r="K63" s="6" t="s">
        <v>25</v>
      </c>
      <c r="L63" s="6" t="s">
        <v>26</v>
      </c>
      <c r="M63" s="7" t="s">
        <v>51</v>
      </c>
      <c r="N63" s="6">
        <v>1</v>
      </c>
      <c r="O63" s="18">
        <v>1266</v>
      </c>
      <c r="P63" s="18">
        <v>2320</v>
      </c>
      <c r="Q63" s="18">
        <v>1054</v>
      </c>
      <c r="R63" s="18">
        <f>N63*O63</f>
        <v>1266</v>
      </c>
      <c r="S63" s="18">
        <f>N63*P63</f>
        <v>2320</v>
      </c>
      <c r="T63" s="18">
        <f t="shared" si="0"/>
        <v>1054</v>
      </c>
      <c r="U63" s="18">
        <f t="shared" si="1"/>
        <v>-212</v>
      </c>
    </row>
    <row r="64" spans="1:21" x14ac:dyDescent="0.2">
      <c r="A64" s="16" t="s">
        <v>118</v>
      </c>
      <c r="B64" s="17">
        <v>44549</v>
      </c>
      <c r="C64" s="6">
        <v>19</v>
      </c>
      <c r="D64" s="6" t="s">
        <v>20</v>
      </c>
      <c r="E64" s="6">
        <v>2021</v>
      </c>
      <c r="F64" s="16">
        <v>17</v>
      </c>
      <c r="G64" s="6" t="s">
        <v>41</v>
      </c>
      <c r="H64" s="6" t="s">
        <v>28</v>
      </c>
      <c r="I64" s="6" t="s">
        <v>82</v>
      </c>
      <c r="J64" s="6" t="s">
        <v>119</v>
      </c>
      <c r="K64" s="6" t="s">
        <v>25</v>
      </c>
      <c r="L64" s="6" t="s">
        <v>26</v>
      </c>
      <c r="M64" s="7" t="s">
        <v>106</v>
      </c>
      <c r="N64" s="6">
        <v>4</v>
      </c>
      <c r="O64" s="18">
        <v>1266</v>
      </c>
      <c r="P64" s="18">
        <v>2320</v>
      </c>
      <c r="Q64" s="18">
        <v>4216</v>
      </c>
      <c r="R64" s="18">
        <f>N64*O64</f>
        <v>5064</v>
      </c>
      <c r="S64" s="18">
        <f>N64*P64</f>
        <v>9280</v>
      </c>
      <c r="T64" s="18">
        <f t="shared" si="0"/>
        <v>4216</v>
      </c>
      <c r="U64" s="18">
        <f t="shared" si="1"/>
        <v>-848</v>
      </c>
    </row>
    <row r="65" spans="1:21" hidden="1" x14ac:dyDescent="0.2">
      <c r="A65" s="16" t="s">
        <v>120</v>
      </c>
      <c r="B65" s="17">
        <v>44549</v>
      </c>
      <c r="C65" s="6">
        <v>19</v>
      </c>
      <c r="D65" s="6" t="s">
        <v>20</v>
      </c>
      <c r="E65" s="6">
        <v>2021</v>
      </c>
      <c r="F65" s="16">
        <v>19</v>
      </c>
      <c r="G65" s="6" t="s">
        <v>41</v>
      </c>
      <c r="H65" s="6" t="s">
        <v>22</v>
      </c>
      <c r="I65" s="6" t="s">
        <v>36</v>
      </c>
      <c r="J65" s="6" t="s">
        <v>69</v>
      </c>
      <c r="K65" s="6" t="s">
        <v>25</v>
      </c>
      <c r="L65" s="6" t="s">
        <v>26</v>
      </c>
      <c r="M65" s="7" t="s">
        <v>121</v>
      </c>
      <c r="N65" s="6">
        <v>4</v>
      </c>
      <c r="O65" s="18">
        <v>295</v>
      </c>
      <c r="P65" s="18">
        <v>540</v>
      </c>
      <c r="Q65" s="18">
        <v>980</v>
      </c>
      <c r="R65" s="18">
        <f>N65*O65</f>
        <v>1180</v>
      </c>
      <c r="S65" s="18">
        <f>N65*P65</f>
        <v>2160</v>
      </c>
      <c r="T65" s="18">
        <f t="shared" si="0"/>
        <v>980</v>
      </c>
      <c r="U65" s="18">
        <f t="shared" si="1"/>
        <v>-200</v>
      </c>
    </row>
    <row r="66" spans="1:21" x14ac:dyDescent="0.2">
      <c r="A66" s="16" t="s">
        <v>122</v>
      </c>
      <c r="B66" s="17">
        <v>44549</v>
      </c>
      <c r="C66" s="6">
        <v>19</v>
      </c>
      <c r="D66" s="6" t="s">
        <v>20</v>
      </c>
      <c r="E66" s="6">
        <v>2021</v>
      </c>
      <c r="F66" s="16">
        <v>25</v>
      </c>
      <c r="G66" s="6" t="s">
        <v>35</v>
      </c>
      <c r="H66" s="6" t="s">
        <v>28</v>
      </c>
      <c r="I66" s="6" t="s">
        <v>82</v>
      </c>
      <c r="J66" s="6" t="s">
        <v>83</v>
      </c>
      <c r="K66" s="6" t="s">
        <v>25</v>
      </c>
      <c r="L66" s="6" t="s">
        <v>26</v>
      </c>
      <c r="M66" s="7" t="s">
        <v>42</v>
      </c>
      <c r="N66" s="6">
        <v>4</v>
      </c>
      <c r="O66" s="18">
        <v>1252</v>
      </c>
      <c r="P66" s="18">
        <v>2295</v>
      </c>
      <c r="Q66" s="18">
        <v>4172</v>
      </c>
      <c r="R66" s="18">
        <f>N66*O66</f>
        <v>5008</v>
      </c>
      <c r="S66" s="18">
        <f>N66*P66</f>
        <v>9180</v>
      </c>
      <c r="T66" s="18">
        <f t="shared" si="0"/>
        <v>4172</v>
      </c>
      <c r="U66" s="18">
        <f t="shared" si="1"/>
        <v>-836</v>
      </c>
    </row>
    <row r="67" spans="1:21" hidden="1" x14ac:dyDescent="0.2">
      <c r="A67" s="16" t="s">
        <v>123</v>
      </c>
      <c r="B67" s="17">
        <v>44549</v>
      </c>
      <c r="C67" s="6">
        <v>19</v>
      </c>
      <c r="D67" s="6" t="s">
        <v>20</v>
      </c>
      <c r="E67" s="6">
        <v>2021</v>
      </c>
      <c r="F67" s="16">
        <v>35</v>
      </c>
      <c r="G67" s="6" t="s">
        <v>21</v>
      </c>
      <c r="H67" s="6" t="s">
        <v>22</v>
      </c>
      <c r="I67" s="6" t="s">
        <v>23</v>
      </c>
      <c r="J67" s="6" t="s">
        <v>66</v>
      </c>
      <c r="K67" s="6" t="s">
        <v>25</v>
      </c>
      <c r="L67" s="6" t="s">
        <v>26</v>
      </c>
      <c r="M67" s="7" t="s">
        <v>124</v>
      </c>
      <c r="N67" s="6">
        <v>4</v>
      </c>
      <c r="O67" s="18">
        <v>1898</v>
      </c>
      <c r="P67" s="18">
        <v>3375</v>
      </c>
      <c r="Q67" s="18">
        <v>5908</v>
      </c>
      <c r="R67" s="18">
        <f>N67*O67</f>
        <v>7592</v>
      </c>
      <c r="S67" s="18">
        <f>N67*P67</f>
        <v>13500</v>
      </c>
      <c r="T67" s="18">
        <f t="shared" ref="T67:T90" si="2">S67-R67</f>
        <v>5908</v>
      </c>
      <c r="U67" s="18">
        <f t="shared" ref="U67:U90" si="3">T67-R67</f>
        <v>-1684</v>
      </c>
    </row>
    <row r="68" spans="1:21" hidden="1" x14ac:dyDescent="0.2">
      <c r="A68" s="16" t="s">
        <v>125</v>
      </c>
      <c r="B68" s="17">
        <v>44549</v>
      </c>
      <c r="C68" s="6">
        <v>19</v>
      </c>
      <c r="D68" s="6" t="s">
        <v>20</v>
      </c>
      <c r="E68" s="6">
        <v>2021</v>
      </c>
      <c r="F68" s="16">
        <v>37</v>
      </c>
      <c r="G68" s="6" t="s">
        <v>21</v>
      </c>
      <c r="H68" s="6" t="s">
        <v>28</v>
      </c>
      <c r="I68" s="6" t="s">
        <v>23</v>
      </c>
      <c r="J68" s="6" t="s">
        <v>66</v>
      </c>
      <c r="K68" s="6" t="s">
        <v>25</v>
      </c>
      <c r="L68" s="6" t="s">
        <v>26</v>
      </c>
      <c r="M68" s="7" t="s">
        <v>42</v>
      </c>
      <c r="N68" s="6">
        <v>4</v>
      </c>
      <c r="O68" s="18">
        <v>1252</v>
      </c>
      <c r="P68" s="18">
        <v>2295</v>
      </c>
      <c r="Q68" s="18">
        <v>4172</v>
      </c>
      <c r="R68" s="18">
        <f>N68*O68</f>
        <v>5008</v>
      </c>
      <c r="S68" s="18">
        <f>N68*P68</f>
        <v>9180</v>
      </c>
      <c r="T68" s="18">
        <f t="shared" si="2"/>
        <v>4172</v>
      </c>
      <c r="U68" s="18">
        <f t="shared" si="3"/>
        <v>-836</v>
      </c>
    </row>
    <row r="69" spans="1:21" hidden="1" x14ac:dyDescent="0.2">
      <c r="A69" s="16" t="s">
        <v>126</v>
      </c>
      <c r="B69" s="17">
        <v>44549</v>
      </c>
      <c r="C69" s="6">
        <v>19</v>
      </c>
      <c r="D69" s="6" t="s">
        <v>20</v>
      </c>
      <c r="E69" s="6">
        <v>2021</v>
      </c>
      <c r="F69" s="16">
        <v>39</v>
      </c>
      <c r="G69" s="6" t="s">
        <v>21</v>
      </c>
      <c r="H69" s="6" t="s">
        <v>22</v>
      </c>
      <c r="I69" s="6" t="s">
        <v>23</v>
      </c>
      <c r="J69" s="6" t="s">
        <v>24</v>
      </c>
      <c r="K69" s="6" t="s">
        <v>25</v>
      </c>
      <c r="L69" s="6" t="s">
        <v>26</v>
      </c>
      <c r="M69" s="7" t="s">
        <v>27</v>
      </c>
      <c r="N69" s="6">
        <v>4</v>
      </c>
      <c r="O69" s="18">
        <v>1252</v>
      </c>
      <c r="P69" s="18">
        <v>2295</v>
      </c>
      <c r="Q69" s="18">
        <v>4172</v>
      </c>
      <c r="R69" s="18">
        <f>N69*O69</f>
        <v>5008</v>
      </c>
      <c r="S69" s="18">
        <f>N69*P69</f>
        <v>9180</v>
      </c>
      <c r="T69" s="18">
        <f t="shared" si="2"/>
        <v>4172</v>
      </c>
      <c r="U69" s="18">
        <f t="shared" si="3"/>
        <v>-836</v>
      </c>
    </row>
    <row r="70" spans="1:21" hidden="1" x14ac:dyDescent="0.2">
      <c r="A70" s="16" t="s">
        <v>127</v>
      </c>
      <c r="B70" s="17">
        <v>44549</v>
      </c>
      <c r="C70" s="6">
        <v>19</v>
      </c>
      <c r="D70" s="6" t="s">
        <v>20</v>
      </c>
      <c r="E70" s="6">
        <v>2021</v>
      </c>
      <c r="F70" s="16">
        <v>63</v>
      </c>
      <c r="G70" s="6" t="s">
        <v>21</v>
      </c>
      <c r="H70" s="6" t="s">
        <v>22</v>
      </c>
      <c r="I70" s="6" t="s">
        <v>36</v>
      </c>
      <c r="J70" s="6" t="s">
        <v>50</v>
      </c>
      <c r="K70" s="6" t="s">
        <v>25</v>
      </c>
      <c r="L70" s="6" t="s">
        <v>26</v>
      </c>
      <c r="M70" s="7" t="s">
        <v>27</v>
      </c>
      <c r="N70" s="6">
        <v>4</v>
      </c>
      <c r="O70" s="18">
        <v>1252</v>
      </c>
      <c r="P70" s="18">
        <v>2295</v>
      </c>
      <c r="Q70" s="18">
        <v>4172</v>
      </c>
      <c r="R70" s="18">
        <f>N70*O70</f>
        <v>5008</v>
      </c>
      <c r="S70" s="18">
        <f>N70*P70</f>
        <v>9180</v>
      </c>
      <c r="T70" s="18">
        <f t="shared" si="2"/>
        <v>4172</v>
      </c>
      <c r="U70" s="18">
        <f t="shared" si="3"/>
        <v>-836</v>
      </c>
    </row>
    <row r="71" spans="1:21" hidden="1" x14ac:dyDescent="0.2">
      <c r="A71" s="16" t="s">
        <v>128</v>
      </c>
      <c r="B71" s="17">
        <v>44549</v>
      </c>
      <c r="C71" s="6">
        <v>19</v>
      </c>
      <c r="D71" s="6" t="s">
        <v>20</v>
      </c>
      <c r="E71" s="6">
        <v>2021</v>
      </c>
      <c r="F71" s="16">
        <v>18</v>
      </c>
      <c r="G71" s="6" t="s">
        <v>41</v>
      </c>
      <c r="H71" s="6" t="s">
        <v>28</v>
      </c>
      <c r="I71" s="6" t="s">
        <v>36</v>
      </c>
      <c r="J71" s="6" t="s">
        <v>129</v>
      </c>
      <c r="K71" s="6" t="s">
        <v>25</v>
      </c>
      <c r="L71" s="6" t="s">
        <v>26</v>
      </c>
      <c r="M71" s="7" t="s">
        <v>77</v>
      </c>
      <c r="N71" s="6">
        <v>2</v>
      </c>
      <c r="O71" s="18">
        <v>295</v>
      </c>
      <c r="P71" s="18">
        <v>540</v>
      </c>
      <c r="Q71" s="18">
        <v>490</v>
      </c>
      <c r="R71" s="18">
        <f>N71*O71</f>
        <v>590</v>
      </c>
      <c r="S71" s="18">
        <f>N71*P71</f>
        <v>1080</v>
      </c>
      <c r="T71" s="18">
        <f t="shared" si="2"/>
        <v>490</v>
      </c>
      <c r="U71" s="18">
        <f t="shared" si="3"/>
        <v>-100</v>
      </c>
    </row>
    <row r="72" spans="1:21" hidden="1" x14ac:dyDescent="0.2">
      <c r="A72" s="16" t="s">
        <v>130</v>
      </c>
      <c r="B72" s="17">
        <v>44549</v>
      </c>
      <c r="C72" s="6">
        <v>19</v>
      </c>
      <c r="D72" s="6" t="s">
        <v>20</v>
      </c>
      <c r="E72" s="6">
        <v>2021</v>
      </c>
      <c r="F72" s="16">
        <v>56</v>
      </c>
      <c r="G72" s="6" t="s">
        <v>21</v>
      </c>
      <c r="H72" s="6" t="s">
        <v>22</v>
      </c>
      <c r="I72" s="6" t="s">
        <v>47</v>
      </c>
      <c r="J72" s="6" t="s">
        <v>131</v>
      </c>
      <c r="K72" s="6" t="s">
        <v>25</v>
      </c>
      <c r="L72" s="6" t="s">
        <v>26</v>
      </c>
      <c r="M72" s="7" t="s">
        <v>27</v>
      </c>
      <c r="N72" s="6">
        <v>2</v>
      </c>
      <c r="O72" s="18">
        <v>1252</v>
      </c>
      <c r="P72" s="18">
        <v>2295</v>
      </c>
      <c r="Q72" s="18">
        <v>2086</v>
      </c>
      <c r="R72" s="18">
        <f>N72*O72</f>
        <v>2504</v>
      </c>
      <c r="S72" s="18">
        <f>N72*P72</f>
        <v>4590</v>
      </c>
      <c r="T72" s="18">
        <f t="shared" si="2"/>
        <v>2086</v>
      </c>
      <c r="U72" s="18">
        <f t="shared" si="3"/>
        <v>-418</v>
      </c>
    </row>
    <row r="73" spans="1:21" hidden="1" x14ac:dyDescent="0.2">
      <c r="A73" s="16" t="s">
        <v>132</v>
      </c>
      <c r="B73" s="17">
        <v>44549</v>
      </c>
      <c r="C73" s="6">
        <v>19</v>
      </c>
      <c r="D73" s="6" t="s">
        <v>20</v>
      </c>
      <c r="E73" s="6">
        <v>2021</v>
      </c>
      <c r="F73" s="16">
        <v>39</v>
      </c>
      <c r="G73" s="6" t="s">
        <v>21</v>
      </c>
      <c r="H73" s="6" t="s">
        <v>22</v>
      </c>
      <c r="I73" s="6" t="s">
        <v>23</v>
      </c>
      <c r="J73" s="6" t="s">
        <v>44</v>
      </c>
      <c r="K73" s="6" t="s">
        <v>25</v>
      </c>
      <c r="L73" s="6" t="s">
        <v>26</v>
      </c>
      <c r="M73" s="7" t="s">
        <v>51</v>
      </c>
      <c r="N73" s="6">
        <v>1</v>
      </c>
      <c r="O73" s="18">
        <v>1266</v>
      </c>
      <c r="P73" s="18">
        <v>2320</v>
      </c>
      <c r="Q73" s="18">
        <v>1054</v>
      </c>
      <c r="R73" s="18">
        <f>N73*O73</f>
        <v>1266</v>
      </c>
      <c r="S73" s="18">
        <f>N73*P73</f>
        <v>2320</v>
      </c>
      <c r="T73" s="18">
        <f t="shared" si="2"/>
        <v>1054</v>
      </c>
      <c r="U73" s="18">
        <f t="shared" si="3"/>
        <v>-212</v>
      </c>
    </row>
    <row r="74" spans="1:21" hidden="1" x14ac:dyDescent="0.2">
      <c r="A74" s="16" t="s">
        <v>133</v>
      </c>
      <c r="B74" s="17">
        <v>44550</v>
      </c>
      <c r="C74" s="6">
        <v>20</v>
      </c>
      <c r="D74" s="6" t="s">
        <v>20</v>
      </c>
      <c r="E74" s="6">
        <v>2021</v>
      </c>
      <c r="F74" s="16">
        <v>33</v>
      </c>
      <c r="G74" s="6" t="s">
        <v>35</v>
      </c>
      <c r="H74" s="6" t="s">
        <v>22</v>
      </c>
      <c r="I74" s="6" t="s">
        <v>36</v>
      </c>
      <c r="J74" s="6" t="s">
        <v>69</v>
      </c>
      <c r="K74" s="6" t="s">
        <v>25</v>
      </c>
      <c r="L74" s="6" t="s">
        <v>26</v>
      </c>
      <c r="M74" s="7" t="s">
        <v>70</v>
      </c>
      <c r="N74" s="6">
        <v>4</v>
      </c>
      <c r="O74" s="18">
        <v>1898</v>
      </c>
      <c r="P74" s="18">
        <v>3375</v>
      </c>
      <c r="Q74" s="18">
        <v>5908</v>
      </c>
      <c r="R74" s="18">
        <f>N74*O74</f>
        <v>7592</v>
      </c>
      <c r="S74" s="18">
        <f>N74*P74</f>
        <v>13500</v>
      </c>
      <c r="T74" s="18">
        <f t="shared" si="2"/>
        <v>5908</v>
      </c>
      <c r="U74" s="18">
        <f t="shared" si="3"/>
        <v>-1684</v>
      </c>
    </row>
    <row r="75" spans="1:21" hidden="1" x14ac:dyDescent="0.2">
      <c r="A75" s="16" t="s">
        <v>134</v>
      </c>
      <c r="B75" s="17">
        <v>44550</v>
      </c>
      <c r="C75" s="6">
        <v>20</v>
      </c>
      <c r="D75" s="6" t="s">
        <v>20</v>
      </c>
      <c r="E75" s="6">
        <v>2021</v>
      </c>
      <c r="F75" s="16">
        <v>57</v>
      </c>
      <c r="G75" s="6" t="s">
        <v>21</v>
      </c>
      <c r="H75" s="6" t="s">
        <v>28</v>
      </c>
      <c r="I75" s="6" t="s">
        <v>36</v>
      </c>
      <c r="J75" s="6" t="s">
        <v>50</v>
      </c>
      <c r="K75" s="6" t="s">
        <v>25</v>
      </c>
      <c r="L75" s="6" t="s">
        <v>26</v>
      </c>
      <c r="M75" s="7" t="s">
        <v>27</v>
      </c>
      <c r="N75" s="6">
        <v>4</v>
      </c>
      <c r="O75" s="18">
        <v>1252</v>
      </c>
      <c r="P75" s="18">
        <v>2295</v>
      </c>
      <c r="Q75" s="18">
        <v>4172</v>
      </c>
      <c r="R75" s="18">
        <f>N75*O75</f>
        <v>5008</v>
      </c>
      <c r="S75" s="18">
        <f>N75*P75</f>
        <v>9180</v>
      </c>
      <c r="T75" s="18">
        <f t="shared" si="2"/>
        <v>4172</v>
      </c>
      <c r="U75" s="18">
        <f t="shared" si="3"/>
        <v>-836</v>
      </c>
    </row>
    <row r="76" spans="1:21" hidden="1" x14ac:dyDescent="0.2">
      <c r="A76" s="16" t="s">
        <v>135</v>
      </c>
      <c r="B76" s="17">
        <v>44550</v>
      </c>
      <c r="C76" s="6">
        <v>20</v>
      </c>
      <c r="D76" s="6" t="s">
        <v>20</v>
      </c>
      <c r="E76" s="6">
        <v>2021</v>
      </c>
      <c r="F76" s="16">
        <v>29</v>
      </c>
      <c r="G76" s="6" t="s">
        <v>35</v>
      </c>
      <c r="H76" s="6" t="s">
        <v>28</v>
      </c>
      <c r="I76" s="6" t="s">
        <v>55</v>
      </c>
      <c r="J76" s="6" t="s">
        <v>56</v>
      </c>
      <c r="K76" s="6" t="s">
        <v>25</v>
      </c>
      <c r="L76" s="6" t="s">
        <v>26</v>
      </c>
      <c r="M76" s="7" t="s">
        <v>136</v>
      </c>
      <c r="N76" s="6">
        <v>3</v>
      </c>
      <c r="O76" s="18">
        <v>295</v>
      </c>
      <c r="P76" s="18">
        <v>540</v>
      </c>
      <c r="Q76" s="18">
        <v>735</v>
      </c>
      <c r="R76" s="18">
        <f>N76*O76</f>
        <v>885</v>
      </c>
      <c r="S76" s="18">
        <f>N76*P76</f>
        <v>1620</v>
      </c>
      <c r="T76" s="18">
        <f t="shared" si="2"/>
        <v>735</v>
      </c>
      <c r="U76" s="18">
        <f t="shared" si="3"/>
        <v>-150</v>
      </c>
    </row>
    <row r="77" spans="1:21" hidden="1" x14ac:dyDescent="0.2">
      <c r="A77" s="16" t="s">
        <v>137</v>
      </c>
      <c r="B77" s="17">
        <v>44550</v>
      </c>
      <c r="C77" s="6">
        <v>20</v>
      </c>
      <c r="D77" s="6" t="s">
        <v>20</v>
      </c>
      <c r="E77" s="6">
        <v>2021</v>
      </c>
      <c r="F77" s="16">
        <v>35</v>
      </c>
      <c r="G77" s="6" t="s">
        <v>21</v>
      </c>
      <c r="H77" s="6" t="s">
        <v>22</v>
      </c>
      <c r="I77" s="6" t="s">
        <v>36</v>
      </c>
      <c r="J77" s="6" t="s">
        <v>50</v>
      </c>
      <c r="K77" s="6" t="s">
        <v>25</v>
      </c>
      <c r="L77" s="6" t="s">
        <v>26</v>
      </c>
      <c r="M77" s="7" t="s">
        <v>51</v>
      </c>
      <c r="N77" s="6">
        <v>1</v>
      </c>
      <c r="O77" s="18">
        <v>1266</v>
      </c>
      <c r="P77" s="18">
        <v>2320</v>
      </c>
      <c r="Q77" s="18">
        <v>1054</v>
      </c>
      <c r="R77" s="18">
        <f>N77*O77</f>
        <v>1266</v>
      </c>
      <c r="S77" s="18">
        <f>N77*P77</f>
        <v>2320</v>
      </c>
      <c r="T77" s="18">
        <f t="shared" si="2"/>
        <v>1054</v>
      </c>
      <c r="U77" s="18">
        <f t="shared" si="3"/>
        <v>-212</v>
      </c>
    </row>
    <row r="78" spans="1:21" hidden="1" x14ac:dyDescent="0.2">
      <c r="A78" s="16" t="s">
        <v>138</v>
      </c>
      <c r="B78" s="17">
        <v>44550</v>
      </c>
      <c r="C78" s="6">
        <v>20</v>
      </c>
      <c r="D78" s="6" t="s">
        <v>20</v>
      </c>
      <c r="E78" s="6">
        <v>2021</v>
      </c>
      <c r="F78" s="16">
        <v>35</v>
      </c>
      <c r="G78" s="6" t="s">
        <v>21</v>
      </c>
      <c r="H78" s="6" t="s">
        <v>28</v>
      </c>
      <c r="I78" s="6" t="s">
        <v>36</v>
      </c>
      <c r="J78" s="6" t="s">
        <v>69</v>
      </c>
      <c r="K78" s="6" t="s">
        <v>25</v>
      </c>
      <c r="L78" s="6" t="s">
        <v>26</v>
      </c>
      <c r="M78" s="7" t="s">
        <v>51</v>
      </c>
      <c r="N78" s="6">
        <v>1</v>
      </c>
      <c r="O78" s="18">
        <v>1266</v>
      </c>
      <c r="P78" s="18">
        <v>2320</v>
      </c>
      <c r="Q78" s="18">
        <v>1054</v>
      </c>
      <c r="R78" s="18">
        <f>N78*O78</f>
        <v>1266</v>
      </c>
      <c r="S78" s="18">
        <f>N78*P78</f>
        <v>2320</v>
      </c>
      <c r="T78" s="18">
        <f t="shared" si="2"/>
        <v>1054</v>
      </c>
      <c r="U78" s="18">
        <f t="shared" si="3"/>
        <v>-212</v>
      </c>
    </row>
    <row r="79" spans="1:21" x14ac:dyDescent="0.2">
      <c r="A79" s="16" t="s">
        <v>139</v>
      </c>
      <c r="B79" s="17">
        <v>44551</v>
      </c>
      <c r="C79" s="6">
        <v>21</v>
      </c>
      <c r="D79" s="6" t="s">
        <v>20</v>
      </c>
      <c r="E79" s="6">
        <v>2021</v>
      </c>
      <c r="F79" s="16">
        <v>26</v>
      </c>
      <c r="G79" s="6" t="s">
        <v>35</v>
      </c>
      <c r="H79" s="6" t="s">
        <v>28</v>
      </c>
      <c r="I79" s="6" t="s">
        <v>82</v>
      </c>
      <c r="J79" s="6" t="s">
        <v>140</v>
      </c>
      <c r="K79" s="6" t="s">
        <v>25</v>
      </c>
      <c r="L79" s="6" t="s">
        <v>26</v>
      </c>
      <c r="M79" s="7" t="s">
        <v>51</v>
      </c>
      <c r="N79" s="6">
        <v>3</v>
      </c>
      <c r="O79" s="18">
        <v>1266</v>
      </c>
      <c r="P79" s="18">
        <v>2320</v>
      </c>
      <c r="Q79" s="18">
        <v>3162</v>
      </c>
      <c r="R79" s="18">
        <f>N79*O79</f>
        <v>3798</v>
      </c>
      <c r="S79" s="18">
        <f>N79*P79</f>
        <v>6960</v>
      </c>
      <c r="T79" s="18">
        <f t="shared" si="2"/>
        <v>3162</v>
      </c>
      <c r="U79" s="18">
        <f t="shared" si="3"/>
        <v>-636</v>
      </c>
    </row>
    <row r="80" spans="1:21" hidden="1" x14ac:dyDescent="0.2">
      <c r="A80" s="16" t="s">
        <v>141</v>
      </c>
      <c r="B80" s="17">
        <v>44551</v>
      </c>
      <c r="C80" s="6">
        <v>21</v>
      </c>
      <c r="D80" s="6" t="s">
        <v>20</v>
      </c>
      <c r="E80" s="6">
        <v>2021</v>
      </c>
      <c r="F80" s="16">
        <v>23</v>
      </c>
      <c r="G80" s="6" t="s">
        <v>41</v>
      </c>
      <c r="H80" s="6" t="s">
        <v>28</v>
      </c>
      <c r="I80" s="6" t="s">
        <v>29</v>
      </c>
      <c r="J80" s="6" t="s">
        <v>30</v>
      </c>
      <c r="K80" s="6" t="s">
        <v>25</v>
      </c>
      <c r="L80" s="6" t="s">
        <v>26</v>
      </c>
      <c r="M80" s="7" t="s">
        <v>33</v>
      </c>
      <c r="N80" s="6">
        <v>2</v>
      </c>
      <c r="O80" s="18">
        <v>420</v>
      </c>
      <c r="P80" s="18">
        <v>769</v>
      </c>
      <c r="Q80" s="18">
        <v>698</v>
      </c>
      <c r="R80" s="18">
        <f>N80*O80</f>
        <v>840</v>
      </c>
      <c r="S80" s="18">
        <f>N80*P80</f>
        <v>1538</v>
      </c>
      <c r="T80" s="18">
        <f t="shared" si="2"/>
        <v>698</v>
      </c>
      <c r="U80" s="18">
        <f t="shared" si="3"/>
        <v>-142</v>
      </c>
    </row>
    <row r="81" spans="1:21" hidden="1" x14ac:dyDescent="0.2">
      <c r="A81" s="16" t="s">
        <v>142</v>
      </c>
      <c r="B81" s="17">
        <v>44552</v>
      </c>
      <c r="C81" s="6">
        <v>22</v>
      </c>
      <c r="D81" s="6" t="s">
        <v>20</v>
      </c>
      <c r="E81" s="6">
        <v>2021</v>
      </c>
      <c r="F81" s="16">
        <v>30</v>
      </c>
      <c r="G81" s="6" t="s">
        <v>35</v>
      </c>
      <c r="H81" s="6" t="s">
        <v>22</v>
      </c>
      <c r="I81" s="6" t="s">
        <v>23</v>
      </c>
      <c r="J81" s="6" t="s">
        <v>44</v>
      </c>
      <c r="K81" s="6" t="s">
        <v>25</v>
      </c>
      <c r="L81" s="6" t="s">
        <v>26</v>
      </c>
      <c r="M81" s="7" t="s">
        <v>51</v>
      </c>
      <c r="N81" s="6">
        <v>3</v>
      </c>
      <c r="O81" s="18">
        <v>1266</v>
      </c>
      <c r="P81" s="18">
        <v>2320</v>
      </c>
      <c r="Q81" s="18">
        <v>3162</v>
      </c>
      <c r="R81" s="18">
        <f>N81*O81</f>
        <v>3798</v>
      </c>
      <c r="S81" s="18">
        <f>N81*P81</f>
        <v>6960</v>
      </c>
      <c r="T81" s="18">
        <f t="shared" si="2"/>
        <v>3162</v>
      </c>
      <c r="U81" s="18">
        <f t="shared" si="3"/>
        <v>-636</v>
      </c>
    </row>
    <row r="82" spans="1:21" hidden="1" x14ac:dyDescent="0.2">
      <c r="A82" s="16" t="s">
        <v>92</v>
      </c>
      <c r="B82" s="17">
        <v>44542</v>
      </c>
      <c r="C82" s="6">
        <v>12</v>
      </c>
      <c r="D82" s="6" t="s">
        <v>20</v>
      </c>
      <c r="E82" s="6">
        <v>2021</v>
      </c>
      <c r="F82" s="16">
        <v>38</v>
      </c>
      <c r="G82" s="6" t="s">
        <v>21</v>
      </c>
      <c r="H82" s="6" t="s">
        <v>22</v>
      </c>
      <c r="I82" s="6" t="s">
        <v>23</v>
      </c>
      <c r="J82" s="6" t="s">
        <v>44</v>
      </c>
      <c r="K82" s="6" t="s">
        <v>25</v>
      </c>
      <c r="L82" s="6" t="s">
        <v>26</v>
      </c>
      <c r="M82" s="7" t="s">
        <v>31</v>
      </c>
      <c r="N82" s="6">
        <v>1</v>
      </c>
      <c r="O82" s="18">
        <v>1266</v>
      </c>
      <c r="P82" s="18">
        <v>2320</v>
      </c>
      <c r="Q82" s="18">
        <v>1054</v>
      </c>
      <c r="R82" s="18">
        <f>N82*O82</f>
        <v>1266</v>
      </c>
      <c r="S82" s="18">
        <f>N82*P82</f>
        <v>2320</v>
      </c>
      <c r="T82" s="18">
        <f t="shared" si="2"/>
        <v>1054</v>
      </c>
      <c r="U82" s="18">
        <f t="shared" si="3"/>
        <v>-212</v>
      </c>
    </row>
    <row r="83" spans="1:21" hidden="1" x14ac:dyDescent="0.2">
      <c r="A83" s="16" t="s">
        <v>144</v>
      </c>
      <c r="B83" s="17">
        <v>44552</v>
      </c>
      <c r="C83" s="6">
        <v>22</v>
      </c>
      <c r="D83" s="6" t="s">
        <v>20</v>
      </c>
      <c r="E83" s="6">
        <v>2021</v>
      </c>
      <c r="F83" s="16">
        <v>19</v>
      </c>
      <c r="G83" s="6" t="s">
        <v>41</v>
      </c>
      <c r="H83" s="6" t="s">
        <v>22</v>
      </c>
      <c r="I83" s="6" t="s">
        <v>36</v>
      </c>
      <c r="J83" s="6" t="s">
        <v>37</v>
      </c>
      <c r="K83" s="6" t="s">
        <v>25</v>
      </c>
      <c r="L83" s="6" t="s">
        <v>26</v>
      </c>
      <c r="M83" s="7" t="s">
        <v>64</v>
      </c>
      <c r="N83" s="6">
        <v>1</v>
      </c>
      <c r="O83" s="18">
        <v>308</v>
      </c>
      <c r="P83" s="18">
        <v>565</v>
      </c>
      <c r="Q83" s="18">
        <v>257</v>
      </c>
      <c r="R83" s="18">
        <f>N83*O83</f>
        <v>308</v>
      </c>
      <c r="S83" s="18">
        <f>N83*P83</f>
        <v>565</v>
      </c>
      <c r="T83" s="18">
        <f t="shared" si="2"/>
        <v>257</v>
      </c>
      <c r="U83" s="18">
        <f t="shared" si="3"/>
        <v>-51</v>
      </c>
    </row>
    <row r="84" spans="1:21" x14ac:dyDescent="0.2">
      <c r="A84" s="16" t="s">
        <v>145</v>
      </c>
      <c r="B84" s="17">
        <v>44552</v>
      </c>
      <c r="C84" s="6">
        <v>22</v>
      </c>
      <c r="D84" s="6" t="s">
        <v>20</v>
      </c>
      <c r="E84" s="6">
        <v>2021</v>
      </c>
      <c r="F84" s="16">
        <v>25</v>
      </c>
      <c r="G84" s="6" t="s">
        <v>35</v>
      </c>
      <c r="H84" s="6" t="s">
        <v>28</v>
      </c>
      <c r="I84" s="6" t="s">
        <v>82</v>
      </c>
      <c r="J84" s="6" t="s">
        <v>83</v>
      </c>
      <c r="K84" s="6" t="s">
        <v>25</v>
      </c>
      <c r="L84" s="6" t="s">
        <v>26</v>
      </c>
      <c r="M84" s="7" t="s">
        <v>42</v>
      </c>
      <c r="N84" s="6">
        <v>1</v>
      </c>
      <c r="O84" s="18">
        <v>1252</v>
      </c>
      <c r="P84" s="18">
        <v>2295</v>
      </c>
      <c r="Q84" s="18">
        <v>1043</v>
      </c>
      <c r="R84" s="18">
        <f>N84*O84</f>
        <v>1252</v>
      </c>
      <c r="S84" s="18">
        <f>N84*P84</f>
        <v>2295</v>
      </c>
      <c r="T84" s="18">
        <f t="shared" si="2"/>
        <v>1043</v>
      </c>
      <c r="U84" s="18">
        <f t="shared" si="3"/>
        <v>-209</v>
      </c>
    </row>
    <row r="85" spans="1:21" hidden="1" x14ac:dyDescent="0.2">
      <c r="A85" s="16" t="s">
        <v>146</v>
      </c>
      <c r="B85" s="17">
        <v>44552</v>
      </c>
      <c r="C85" s="6">
        <v>22</v>
      </c>
      <c r="D85" s="6" t="s">
        <v>20</v>
      </c>
      <c r="E85" s="6">
        <v>2021</v>
      </c>
      <c r="F85" s="16">
        <v>27</v>
      </c>
      <c r="G85" s="6" t="s">
        <v>35</v>
      </c>
      <c r="H85" s="6" t="s">
        <v>22</v>
      </c>
      <c r="I85" s="6" t="s">
        <v>55</v>
      </c>
      <c r="J85" s="6" t="s">
        <v>56</v>
      </c>
      <c r="K85" s="6" t="s">
        <v>25</v>
      </c>
      <c r="L85" s="6" t="s">
        <v>26</v>
      </c>
      <c r="M85" s="7" t="s">
        <v>27</v>
      </c>
      <c r="N85" s="6">
        <v>1</v>
      </c>
      <c r="O85" s="18">
        <v>1252</v>
      </c>
      <c r="P85" s="18">
        <v>2295</v>
      </c>
      <c r="Q85" s="18">
        <v>1043</v>
      </c>
      <c r="R85" s="18">
        <f>N85*O85</f>
        <v>1252</v>
      </c>
      <c r="S85" s="18">
        <f>N85*P85</f>
        <v>2295</v>
      </c>
      <c r="T85" s="18">
        <f t="shared" si="2"/>
        <v>1043</v>
      </c>
      <c r="U85" s="18">
        <f t="shared" si="3"/>
        <v>-209</v>
      </c>
    </row>
    <row r="86" spans="1:21" hidden="1" x14ac:dyDescent="0.2">
      <c r="A86" s="16" t="s">
        <v>147</v>
      </c>
      <c r="B86" s="17">
        <v>44552</v>
      </c>
      <c r="C86" s="6">
        <v>22</v>
      </c>
      <c r="D86" s="6" t="s">
        <v>20</v>
      </c>
      <c r="E86" s="6">
        <v>2021</v>
      </c>
      <c r="F86" s="16">
        <v>41</v>
      </c>
      <c r="G86" s="6" t="s">
        <v>21</v>
      </c>
      <c r="H86" s="6" t="s">
        <v>28</v>
      </c>
      <c r="I86" s="6" t="s">
        <v>47</v>
      </c>
      <c r="J86" s="6" t="s">
        <v>131</v>
      </c>
      <c r="K86" s="6" t="s">
        <v>25</v>
      </c>
      <c r="L86" s="6" t="s">
        <v>26</v>
      </c>
      <c r="M86" s="7" t="s">
        <v>51</v>
      </c>
      <c r="N86" s="6">
        <v>1</v>
      </c>
      <c r="O86" s="18">
        <v>1266</v>
      </c>
      <c r="P86" s="18">
        <v>2320</v>
      </c>
      <c r="Q86" s="18">
        <v>1054</v>
      </c>
      <c r="R86" s="18">
        <f>N86*O86</f>
        <v>1266</v>
      </c>
      <c r="S86" s="18">
        <f>N86*P86</f>
        <v>2320</v>
      </c>
      <c r="T86" s="18">
        <f t="shared" si="2"/>
        <v>1054</v>
      </c>
      <c r="U86" s="18">
        <f t="shared" si="3"/>
        <v>-212</v>
      </c>
    </row>
    <row r="87" spans="1:21" hidden="1" x14ac:dyDescent="0.2">
      <c r="A87" s="16" t="s">
        <v>93</v>
      </c>
      <c r="B87" s="17">
        <v>44543</v>
      </c>
      <c r="C87" s="6">
        <v>13</v>
      </c>
      <c r="D87" s="6" t="s">
        <v>20</v>
      </c>
      <c r="E87" s="6">
        <v>2021</v>
      </c>
      <c r="F87" s="16">
        <v>32</v>
      </c>
      <c r="G87" s="6" t="s">
        <v>35</v>
      </c>
      <c r="H87" s="6" t="s">
        <v>22</v>
      </c>
      <c r="I87" s="6" t="s">
        <v>36</v>
      </c>
      <c r="J87" s="6" t="s">
        <v>50</v>
      </c>
      <c r="K87" s="6" t="s">
        <v>25</v>
      </c>
      <c r="L87" s="6" t="s">
        <v>26</v>
      </c>
      <c r="M87" s="7" t="s">
        <v>31</v>
      </c>
      <c r="N87" s="6">
        <v>3</v>
      </c>
      <c r="O87" s="18">
        <v>1266</v>
      </c>
      <c r="P87" s="18">
        <v>2320</v>
      </c>
      <c r="Q87" s="18">
        <v>3162</v>
      </c>
      <c r="R87" s="18">
        <f>N87*O87</f>
        <v>3798</v>
      </c>
      <c r="S87" s="18">
        <f>N87*P87</f>
        <v>6960</v>
      </c>
      <c r="T87" s="18">
        <f t="shared" si="2"/>
        <v>3162</v>
      </c>
      <c r="U87" s="18">
        <f t="shared" si="3"/>
        <v>-636</v>
      </c>
    </row>
    <row r="88" spans="1:21" hidden="1" x14ac:dyDescent="0.2">
      <c r="A88" s="16" t="s">
        <v>101</v>
      </c>
      <c r="B88" s="17">
        <v>44545</v>
      </c>
      <c r="C88" s="6">
        <v>15</v>
      </c>
      <c r="D88" s="6" t="s">
        <v>20</v>
      </c>
      <c r="E88" s="6">
        <v>2021</v>
      </c>
      <c r="F88" s="16">
        <v>29</v>
      </c>
      <c r="G88" s="6" t="s">
        <v>35</v>
      </c>
      <c r="H88" s="6" t="s">
        <v>22</v>
      </c>
      <c r="I88" s="6" t="s">
        <v>23</v>
      </c>
      <c r="J88" s="6" t="s">
        <v>24</v>
      </c>
      <c r="K88" s="6" t="s">
        <v>25</v>
      </c>
      <c r="L88" s="6" t="s">
        <v>26</v>
      </c>
      <c r="M88" s="7" t="s">
        <v>31</v>
      </c>
      <c r="N88" s="6">
        <v>1</v>
      </c>
      <c r="O88" s="18">
        <v>1266</v>
      </c>
      <c r="P88" s="18">
        <v>2320</v>
      </c>
      <c r="Q88" s="18">
        <v>1054</v>
      </c>
      <c r="R88" s="18">
        <f>N88*O88</f>
        <v>1266</v>
      </c>
      <c r="S88" s="18">
        <f>N88*P88</f>
        <v>2320</v>
      </c>
      <c r="T88" s="18">
        <f t="shared" si="2"/>
        <v>1054</v>
      </c>
      <c r="U88" s="18">
        <f t="shared" si="3"/>
        <v>-212</v>
      </c>
    </row>
    <row r="89" spans="1:21" hidden="1" x14ac:dyDescent="0.2">
      <c r="A89" s="16" t="s">
        <v>150</v>
      </c>
      <c r="B89" s="17">
        <v>44553</v>
      </c>
      <c r="C89" s="6">
        <v>23</v>
      </c>
      <c r="D89" s="6" t="s">
        <v>20</v>
      </c>
      <c r="E89" s="6">
        <v>2021</v>
      </c>
      <c r="F89" s="16">
        <v>35</v>
      </c>
      <c r="G89" s="6" t="s">
        <v>21</v>
      </c>
      <c r="H89" s="6" t="s">
        <v>22</v>
      </c>
      <c r="I89" s="6" t="s">
        <v>23</v>
      </c>
      <c r="J89" s="6" t="s">
        <v>24</v>
      </c>
      <c r="K89" s="6" t="s">
        <v>25</v>
      </c>
      <c r="L89" s="6" t="s">
        <v>26</v>
      </c>
      <c r="M89" s="7" t="s">
        <v>67</v>
      </c>
      <c r="N89" s="6">
        <v>1</v>
      </c>
      <c r="O89" s="18">
        <v>295</v>
      </c>
      <c r="P89" s="18">
        <v>540</v>
      </c>
      <c r="Q89" s="18">
        <v>245</v>
      </c>
      <c r="R89" s="18">
        <f>N89*O89</f>
        <v>295</v>
      </c>
      <c r="S89" s="18">
        <f>N89*P89</f>
        <v>540</v>
      </c>
      <c r="T89" s="18">
        <f t="shared" si="2"/>
        <v>245</v>
      </c>
      <c r="U89" s="18">
        <f t="shared" si="3"/>
        <v>-50</v>
      </c>
    </row>
    <row r="90" spans="1:21" hidden="1" x14ac:dyDescent="0.2">
      <c r="A90" s="16" t="s">
        <v>148</v>
      </c>
      <c r="B90" s="17">
        <v>44553</v>
      </c>
      <c r="C90" s="6">
        <v>23</v>
      </c>
      <c r="D90" s="6" t="s">
        <v>20</v>
      </c>
      <c r="E90" s="6">
        <v>2021</v>
      </c>
      <c r="F90" s="16">
        <v>30</v>
      </c>
      <c r="G90" s="6" t="s">
        <v>35</v>
      </c>
      <c r="H90" s="6" t="s">
        <v>22</v>
      </c>
      <c r="I90" s="6" t="s">
        <v>23</v>
      </c>
      <c r="J90" s="6" t="s">
        <v>66</v>
      </c>
      <c r="K90" s="6" t="s">
        <v>25</v>
      </c>
      <c r="L90" s="6" t="s">
        <v>26</v>
      </c>
      <c r="M90" s="7" t="s">
        <v>31</v>
      </c>
      <c r="N90" s="6">
        <v>1</v>
      </c>
      <c r="O90" s="18">
        <v>1266</v>
      </c>
      <c r="P90" s="18">
        <v>2320</v>
      </c>
      <c r="Q90" s="18">
        <v>1054</v>
      </c>
      <c r="R90" s="18">
        <f>N90*O90</f>
        <v>1266</v>
      </c>
      <c r="S90" s="18">
        <f>N90*P90</f>
        <v>2320</v>
      </c>
      <c r="T90" s="18">
        <f t="shared" si="2"/>
        <v>1054</v>
      </c>
      <c r="U90" s="18">
        <f t="shared" si="3"/>
        <v>-212</v>
      </c>
    </row>
    <row r="91" spans="1:21" hidden="1" x14ac:dyDescent="0.2"/>
    <row r="92" spans="1:21" hidden="1" x14ac:dyDescent="0.2"/>
    <row r="93" spans="1:21" hidden="1" x14ac:dyDescent="0.2">
      <c r="B93" s="28"/>
      <c r="C93" s="28"/>
      <c r="D93" s="28"/>
    </row>
    <row r="94" spans="1:21" hidden="1" x14ac:dyDescent="0.2">
      <c r="B94" s="28"/>
      <c r="C94" s="28"/>
      <c r="D94" s="28"/>
    </row>
    <row r="95" spans="1:21" hidden="1" x14ac:dyDescent="0.2">
      <c r="B95" s="28"/>
      <c r="C95" s="28"/>
      <c r="D95" s="28"/>
    </row>
    <row r="96" spans="1:21" hidden="1" x14ac:dyDescent="0.2">
      <c r="B96" s="28"/>
      <c r="C96" s="28"/>
      <c r="D96" s="28"/>
    </row>
    <row r="97" spans="2:4" hidden="1" x14ac:dyDescent="0.2">
      <c r="B97" s="28"/>
      <c r="C97" s="28"/>
      <c r="D97" s="28"/>
    </row>
    <row r="98" spans="2:4" hidden="1" x14ac:dyDescent="0.2">
      <c r="B98" s="28"/>
      <c r="C98" s="28"/>
      <c r="D98" s="28"/>
    </row>
    <row r="99" spans="2:4" hidden="1" x14ac:dyDescent="0.2">
      <c r="B99" s="28"/>
      <c r="C99" s="28"/>
      <c r="D99" s="28"/>
    </row>
    <row r="100" spans="2:4" hidden="1" x14ac:dyDescent="0.2">
      <c r="B100" s="28"/>
      <c r="C100" s="28"/>
      <c r="D100" s="28"/>
    </row>
    <row r="101" spans="2:4" hidden="1" x14ac:dyDescent="0.2">
      <c r="B101" s="28"/>
      <c r="C101" s="28"/>
      <c r="D101" s="28"/>
    </row>
    <row r="102" spans="2:4" hidden="1" x14ac:dyDescent="0.2">
      <c r="B102" s="28"/>
      <c r="C102" s="28"/>
      <c r="D102" s="28"/>
    </row>
    <row r="103" spans="2:4" hidden="1" x14ac:dyDescent="0.2">
      <c r="B103" s="28"/>
      <c r="C103" s="28"/>
      <c r="D103" s="28"/>
    </row>
    <row r="104" spans="2:4" hidden="1" x14ac:dyDescent="0.2">
      <c r="B104" s="28"/>
      <c r="C104" s="28"/>
      <c r="D104" s="28"/>
    </row>
    <row r="105" spans="2:4" hidden="1" x14ac:dyDescent="0.2">
      <c r="B105" s="28"/>
      <c r="C105" s="28"/>
      <c r="D105" s="28"/>
    </row>
    <row r="106" spans="2:4" hidden="1" x14ac:dyDescent="0.2">
      <c r="B106" s="28"/>
      <c r="C106" s="28"/>
      <c r="D106" s="28"/>
    </row>
    <row r="107" spans="2:4" hidden="1" x14ac:dyDescent="0.2">
      <c r="B107" s="28"/>
      <c r="C107" s="28"/>
      <c r="D107" s="28"/>
    </row>
    <row r="108" spans="2:4" hidden="1" x14ac:dyDescent="0.2">
      <c r="B108" s="28"/>
      <c r="C108" s="28"/>
      <c r="D108" s="28"/>
    </row>
    <row r="109" spans="2:4" hidden="1" x14ac:dyDescent="0.2">
      <c r="B109" s="28"/>
      <c r="C109" s="28"/>
      <c r="D109" s="28"/>
    </row>
    <row r="110" spans="2:4" hidden="1" x14ac:dyDescent="0.2">
      <c r="B110" s="28"/>
      <c r="C110" s="28"/>
      <c r="D110" s="28"/>
    </row>
  </sheetData>
  <autoFilter ref="A1:U110" xr:uid="{00000000-0001-0000-0000-000000000000}">
    <filterColumn colId="8">
      <filters>
        <filter val="France"/>
      </filters>
    </filterColumn>
  </autoFilter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FC50-3706-4B4A-9CBB-C516A22DFE3C}">
  <dimension ref="A1:S20"/>
  <sheetViews>
    <sheetView workbookViewId="0">
      <selection activeCell="F4" sqref="F4"/>
    </sheetView>
  </sheetViews>
  <sheetFormatPr baseColWidth="10" defaultRowHeight="19" x14ac:dyDescent="0.2"/>
  <cols>
    <col min="1" max="1" width="23.83203125" style="37" customWidth="1"/>
    <col min="2" max="2" width="16.33203125" style="37" customWidth="1"/>
    <col min="3" max="3" width="32.5" style="37" customWidth="1"/>
    <col min="4" max="4" width="47.83203125" style="37" customWidth="1"/>
    <col min="5" max="5" width="54.1640625" style="37" customWidth="1"/>
    <col min="6" max="6" width="44.33203125" style="37" customWidth="1"/>
    <col min="7" max="7" width="10.83203125" style="37"/>
    <col min="8" max="8" width="46.1640625" style="37" customWidth="1"/>
    <col min="9" max="16384" width="10.83203125" style="37"/>
  </cols>
  <sheetData>
    <row r="1" spans="1:19" ht="20" x14ac:dyDescent="0.2">
      <c r="A1" s="31" t="s">
        <v>185</v>
      </c>
      <c r="B1" s="31" t="s">
        <v>152</v>
      </c>
      <c r="C1" s="31" t="s">
        <v>153</v>
      </c>
      <c r="D1" s="31" t="s">
        <v>154</v>
      </c>
      <c r="E1" s="31" t="s">
        <v>155</v>
      </c>
      <c r="F1" s="31" t="s">
        <v>156</v>
      </c>
      <c r="G1" s="34"/>
      <c r="H1" s="34" t="s">
        <v>184</v>
      </c>
      <c r="I1" s="35"/>
      <c r="J1" s="35"/>
      <c r="K1" s="35"/>
      <c r="L1" s="35"/>
      <c r="M1" s="36"/>
      <c r="N1" s="35"/>
      <c r="O1" s="35"/>
      <c r="P1" s="35"/>
      <c r="Q1" s="35"/>
      <c r="R1" s="35"/>
      <c r="S1" s="35"/>
    </row>
    <row r="2" spans="1:19" ht="60" x14ac:dyDescent="0.2">
      <c r="A2" s="31" t="s">
        <v>0</v>
      </c>
      <c r="B2" s="32" t="s">
        <v>186</v>
      </c>
      <c r="C2" s="32" t="s">
        <v>187</v>
      </c>
      <c r="D2" s="32" t="s">
        <v>188</v>
      </c>
      <c r="E2" s="32"/>
      <c r="F2" s="32" t="s">
        <v>164</v>
      </c>
      <c r="G2" s="38"/>
      <c r="H2" s="38"/>
    </row>
    <row r="3" spans="1:19" ht="40" x14ac:dyDescent="0.2">
      <c r="A3" s="31" t="s">
        <v>1</v>
      </c>
      <c r="B3" s="32" t="s">
        <v>1</v>
      </c>
      <c r="C3" s="32" t="s">
        <v>189</v>
      </c>
      <c r="D3" s="32" t="s">
        <v>190</v>
      </c>
      <c r="E3" s="32"/>
      <c r="F3" s="32"/>
      <c r="G3" s="38"/>
      <c r="H3" s="38"/>
    </row>
    <row r="4" spans="1:19" ht="60" x14ac:dyDescent="0.2">
      <c r="A4" s="31" t="s">
        <v>2</v>
      </c>
      <c r="B4" s="32" t="s">
        <v>191</v>
      </c>
      <c r="C4" s="32" t="s">
        <v>192</v>
      </c>
      <c r="D4" s="32" t="s">
        <v>193</v>
      </c>
      <c r="E4" s="32" t="s">
        <v>158</v>
      </c>
      <c r="F4" s="32"/>
      <c r="G4" s="38"/>
      <c r="H4" s="38"/>
    </row>
    <row r="5" spans="1:19" ht="60" x14ac:dyDescent="0.2">
      <c r="A5" s="31" t="s">
        <v>3</v>
      </c>
      <c r="B5" s="32" t="s">
        <v>194</v>
      </c>
      <c r="C5" s="32" t="s">
        <v>195</v>
      </c>
      <c r="D5" s="32" t="s">
        <v>196</v>
      </c>
      <c r="E5" s="32"/>
      <c r="F5" s="32"/>
      <c r="G5" s="38"/>
      <c r="H5" s="38"/>
    </row>
    <row r="6" spans="1:19" ht="60" x14ac:dyDescent="0.2">
      <c r="A6" s="31" t="s">
        <v>4</v>
      </c>
      <c r="B6" s="32" t="s">
        <v>1</v>
      </c>
      <c r="C6" s="32" t="s">
        <v>197</v>
      </c>
      <c r="D6" s="32" t="s">
        <v>198</v>
      </c>
      <c r="E6" s="32"/>
      <c r="F6" s="32"/>
      <c r="G6" s="38"/>
      <c r="H6" s="38"/>
    </row>
    <row r="7" spans="1:19" ht="60" x14ac:dyDescent="0.2">
      <c r="A7" s="31" t="s">
        <v>5</v>
      </c>
      <c r="B7" s="32" t="s">
        <v>191</v>
      </c>
      <c r="C7" s="32" t="s">
        <v>199</v>
      </c>
      <c r="D7" s="32" t="s">
        <v>200</v>
      </c>
      <c r="E7" s="32"/>
      <c r="F7" s="32"/>
      <c r="G7" s="38"/>
      <c r="H7" s="38"/>
    </row>
    <row r="8" spans="1:19" ht="40" x14ac:dyDescent="0.2">
      <c r="A8" s="31" t="s">
        <v>6</v>
      </c>
      <c r="B8" s="32" t="s">
        <v>194</v>
      </c>
      <c r="C8" s="32" t="s">
        <v>201</v>
      </c>
      <c r="D8" s="32" t="s">
        <v>202</v>
      </c>
      <c r="E8" s="32" t="s">
        <v>157</v>
      </c>
      <c r="F8" s="32"/>
      <c r="G8" s="38"/>
      <c r="H8" s="38" t="s">
        <v>180</v>
      </c>
    </row>
    <row r="9" spans="1:19" ht="60" x14ac:dyDescent="0.2">
      <c r="A9" s="31" t="s">
        <v>7</v>
      </c>
      <c r="B9" s="32" t="s">
        <v>194</v>
      </c>
      <c r="C9" s="32" t="s">
        <v>203</v>
      </c>
      <c r="D9" s="32" t="s">
        <v>204</v>
      </c>
      <c r="E9" s="32"/>
      <c r="F9" s="32"/>
      <c r="G9" s="38"/>
      <c r="H9" s="38" t="s">
        <v>181</v>
      </c>
    </row>
    <row r="10" spans="1:19" ht="40" x14ac:dyDescent="0.2">
      <c r="A10" s="31" t="s">
        <v>8</v>
      </c>
      <c r="B10" s="32" t="s">
        <v>194</v>
      </c>
      <c r="C10" s="32" t="s">
        <v>205</v>
      </c>
      <c r="D10" s="32" t="s">
        <v>206</v>
      </c>
      <c r="E10" s="32"/>
      <c r="F10" s="32" t="s">
        <v>159</v>
      </c>
      <c r="G10" s="38"/>
      <c r="H10" s="38"/>
    </row>
    <row r="11" spans="1:19" ht="40" x14ac:dyDescent="0.2">
      <c r="A11" s="31" t="s">
        <v>9</v>
      </c>
      <c r="B11" s="32" t="s">
        <v>194</v>
      </c>
      <c r="C11" s="32" t="s">
        <v>207</v>
      </c>
      <c r="D11" s="32" t="s">
        <v>208</v>
      </c>
      <c r="E11" s="32"/>
      <c r="F11" s="32"/>
      <c r="G11" s="38"/>
      <c r="H11" s="38"/>
    </row>
    <row r="12" spans="1:19" ht="40" x14ac:dyDescent="0.2">
      <c r="A12" s="31" t="s">
        <v>10</v>
      </c>
      <c r="B12" s="32" t="s">
        <v>194</v>
      </c>
      <c r="C12" s="32" t="s">
        <v>209</v>
      </c>
      <c r="D12" s="32" t="s">
        <v>210</v>
      </c>
      <c r="E12" s="32"/>
      <c r="F12" s="32"/>
      <c r="G12" s="38"/>
      <c r="H12" s="38" t="s">
        <v>182</v>
      </c>
    </row>
    <row r="13" spans="1:19" ht="20" x14ac:dyDescent="0.2">
      <c r="A13" s="31" t="s">
        <v>11</v>
      </c>
      <c r="B13" s="32" t="s">
        <v>194</v>
      </c>
      <c r="C13" s="32" t="s">
        <v>211</v>
      </c>
      <c r="D13" s="32"/>
      <c r="E13" s="32"/>
      <c r="F13" s="32"/>
      <c r="G13" s="38"/>
      <c r="H13" s="38"/>
    </row>
    <row r="14" spans="1:19" ht="40" x14ac:dyDescent="0.2">
      <c r="A14" s="33" t="s">
        <v>12</v>
      </c>
      <c r="B14" s="32" t="s">
        <v>194</v>
      </c>
      <c r="C14" s="32" t="s">
        <v>212</v>
      </c>
      <c r="D14" s="32" t="s">
        <v>213</v>
      </c>
      <c r="E14" s="32" t="s">
        <v>160</v>
      </c>
      <c r="F14" s="32"/>
      <c r="G14" s="38"/>
      <c r="H14" s="38" t="s">
        <v>183</v>
      </c>
    </row>
    <row r="15" spans="1:19" ht="80" x14ac:dyDescent="0.2">
      <c r="A15" s="31" t="s">
        <v>13</v>
      </c>
      <c r="B15" s="32" t="s">
        <v>191</v>
      </c>
      <c r="C15" s="32" t="s">
        <v>214</v>
      </c>
      <c r="D15" s="32" t="s">
        <v>215</v>
      </c>
      <c r="E15" s="32" t="s">
        <v>162</v>
      </c>
      <c r="F15" s="32"/>
      <c r="G15" s="38"/>
      <c r="H15" s="38"/>
    </row>
    <row r="16" spans="1:19" ht="60" x14ac:dyDescent="0.2">
      <c r="A16" s="31" t="s">
        <v>14</v>
      </c>
      <c r="B16" s="32" t="s">
        <v>216</v>
      </c>
      <c r="C16" s="32" t="s">
        <v>217</v>
      </c>
      <c r="D16" s="32" t="s">
        <v>218</v>
      </c>
      <c r="E16" s="32"/>
      <c r="F16" s="32"/>
      <c r="G16" s="38"/>
      <c r="H16" s="38"/>
    </row>
    <row r="17" spans="1:8" ht="80" x14ac:dyDescent="0.2">
      <c r="A17" s="31" t="s">
        <v>15</v>
      </c>
      <c r="B17" s="32" t="s">
        <v>216</v>
      </c>
      <c r="C17" s="32" t="s">
        <v>219</v>
      </c>
      <c r="D17" s="32" t="s">
        <v>220</v>
      </c>
      <c r="E17" s="32" t="s">
        <v>163</v>
      </c>
      <c r="F17" s="32"/>
      <c r="G17" s="38"/>
      <c r="H17" s="38"/>
    </row>
    <row r="18" spans="1:8" ht="80" x14ac:dyDescent="0.2">
      <c r="A18" s="31" t="s">
        <v>16</v>
      </c>
      <c r="B18" s="32" t="s">
        <v>216</v>
      </c>
      <c r="C18" s="32" t="s">
        <v>221</v>
      </c>
      <c r="D18" s="32" t="s">
        <v>222</v>
      </c>
      <c r="E18" s="32"/>
      <c r="F18" s="32" t="s">
        <v>166</v>
      </c>
      <c r="G18" s="38"/>
      <c r="H18" s="38"/>
    </row>
    <row r="19" spans="1:8" ht="60" x14ac:dyDescent="0.2">
      <c r="A19" s="31" t="s">
        <v>17</v>
      </c>
      <c r="B19" s="32" t="s">
        <v>216</v>
      </c>
      <c r="C19" s="32" t="s">
        <v>223</v>
      </c>
      <c r="D19" s="32" t="s">
        <v>224</v>
      </c>
      <c r="E19" s="32"/>
      <c r="F19" s="32"/>
      <c r="G19" s="38"/>
      <c r="H19" s="38" t="s">
        <v>179</v>
      </c>
    </row>
    <row r="20" spans="1:8" ht="20" x14ac:dyDescent="0.2">
      <c r="A20" s="31" t="s">
        <v>18</v>
      </c>
      <c r="B20" s="32" t="s">
        <v>216</v>
      </c>
      <c r="C20" s="32" t="s">
        <v>225</v>
      </c>
      <c r="D20" s="32" t="s">
        <v>226</v>
      </c>
      <c r="E20" s="32"/>
      <c r="F20" s="32"/>
      <c r="G20" s="38"/>
      <c r="H20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15D8-34FA-3C4F-AB1A-55C1D6E308C4}">
  <dimension ref="A1:D9"/>
  <sheetViews>
    <sheetView workbookViewId="0">
      <selection activeCell="K9" sqref="K9"/>
    </sheetView>
  </sheetViews>
  <sheetFormatPr baseColWidth="10" defaultRowHeight="15" x14ac:dyDescent="0.2"/>
  <cols>
    <col min="4" max="4" width="61.6640625" customWidth="1"/>
  </cols>
  <sheetData>
    <row r="1" spans="1:4" ht="160" x14ac:dyDescent="0.2">
      <c r="A1" s="1" t="s">
        <v>8</v>
      </c>
      <c r="B1" s="1" t="s">
        <v>227</v>
      </c>
      <c r="C1" t="s">
        <v>228</v>
      </c>
      <c r="D1" s="41" t="s">
        <v>229</v>
      </c>
    </row>
    <row r="2" spans="1:4" x14ac:dyDescent="0.2">
      <c r="A2" s="39" t="s">
        <v>29</v>
      </c>
      <c r="B2" s="39">
        <v>33</v>
      </c>
    </row>
    <row r="3" spans="1:4" x14ac:dyDescent="0.2">
      <c r="A3" s="39" t="s">
        <v>36</v>
      </c>
      <c r="B3" s="39">
        <v>27</v>
      </c>
    </row>
    <row r="4" spans="1:4" x14ac:dyDescent="0.2">
      <c r="A4" s="39" t="s">
        <v>29</v>
      </c>
      <c r="B4" s="39">
        <v>9</v>
      </c>
    </row>
    <row r="5" spans="1:4" x14ac:dyDescent="0.2">
      <c r="A5" s="39" t="s">
        <v>82</v>
      </c>
      <c r="B5" s="39">
        <v>8</v>
      </c>
    </row>
    <row r="6" spans="1:4" x14ac:dyDescent="0.2">
      <c r="A6" s="39" t="s">
        <v>47</v>
      </c>
      <c r="B6" s="39">
        <v>6</v>
      </c>
    </row>
    <row r="7" spans="1:4" x14ac:dyDescent="0.2">
      <c r="A7" s="39" t="s">
        <v>55</v>
      </c>
      <c r="B7" s="39">
        <v>6</v>
      </c>
    </row>
    <row r="8" spans="1:4" x14ac:dyDescent="0.2">
      <c r="A8" s="40"/>
      <c r="B8" s="40"/>
    </row>
    <row r="9" spans="1:4" x14ac:dyDescent="0.2">
      <c r="A9" s="40"/>
      <c r="B9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333A-0B9A-E142-8C66-939D0CA23BAC}">
  <dimension ref="A1:T20"/>
  <sheetViews>
    <sheetView topLeftCell="F1" workbookViewId="0">
      <selection activeCell="I2" sqref="I2"/>
    </sheetView>
  </sheetViews>
  <sheetFormatPr baseColWidth="10" defaultRowHeight="15" x14ac:dyDescent="0.2"/>
  <cols>
    <col min="1" max="1" width="25.33203125" customWidth="1"/>
    <col min="2" max="2" width="24.33203125" customWidth="1"/>
    <col min="3" max="3" width="35.83203125" style="41" customWidth="1"/>
    <col min="4" max="4" width="14" style="41" customWidth="1"/>
    <col min="5" max="5" width="22.1640625" style="41" customWidth="1"/>
    <col min="6" max="6" width="18" style="41" customWidth="1"/>
    <col min="7" max="9" width="26.83203125" style="41" customWidth="1"/>
    <col min="10" max="10" width="18" style="41" customWidth="1"/>
    <col min="11" max="11" width="23.83203125" style="41" customWidth="1"/>
    <col min="16" max="16" width="29.1640625" style="41" customWidth="1"/>
    <col min="20" max="20" width="19.33203125" customWidth="1"/>
  </cols>
  <sheetData>
    <row r="1" spans="1:20" ht="16" x14ac:dyDescent="0.2">
      <c r="A1" s="42" t="s">
        <v>12</v>
      </c>
      <c r="B1" s="42" t="s">
        <v>230</v>
      </c>
      <c r="C1" s="41" t="s">
        <v>228</v>
      </c>
      <c r="E1" s="1" t="s">
        <v>12</v>
      </c>
      <c r="F1" s="1" t="s">
        <v>235</v>
      </c>
      <c r="G1" s="41" t="s">
        <v>228</v>
      </c>
      <c r="I1" s="1" t="s">
        <v>12</v>
      </c>
      <c r="J1" s="1" t="s">
        <v>239</v>
      </c>
      <c r="K1" s="41" t="s">
        <v>228</v>
      </c>
      <c r="M1" s="1" t="s">
        <v>231</v>
      </c>
      <c r="N1" s="1" t="s">
        <v>232</v>
      </c>
      <c r="P1" s="41" t="s">
        <v>228</v>
      </c>
      <c r="Q1" s="1" t="s">
        <v>231</v>
      </c>
      <c r="R1" s="1" t="s">
        <v>232</v>
      </c>
      <c r="T1" t="s">
        <v>228</v>
      </c>
    </row>
    <row r="2" spans="1:20" ht="144" x14ac:dyDescent="0.2">
      <c r="A2" s="43" t="s">
        <v>124</v>
      </c>
      <c r="B2" s="43">
        <v>13500</v>
      </c>
      <c r="C2" s="41" t="s">
        <v>236</v>
      </c>
      <c r="E2" s="39" t="s">
        <v>67</v>
      </c>
      <c r="F2" s="39">
        <v>-50</v>
      </c>
      <c r="G2" s="41" t="s">
        <v>238</v>
      </c>
      <c r="I2" s="39" t="s">
        <v>124</v>
      </c>
      <c r="J2" s="39">
        <v>5908</v>
      </c>
      <c r="K2" s="41" t="s">
        <v>237</v>
      </c>
      <c r="M2" s="39">
        <v>540</v>
      </c>
      <c r="N2" s="39">
        <v>3400</v>
      </c>
      <c r="P2" s="41" t="s">
        <v>233</v>
      </c>
      <c r="Q2" s="44">
        <v>-1684</v>
      </c>
      <c r="R2" s="39">
        <v>4590</v>
      </c>
      <c r="T2" s="41" t="s">
        <v>234</v>
      </c>
    </row>
    <row r="3" spans="1:20" x14ac:dyDescent="0.2">
      <c r="A3" s="43" t="s">
        <v>70</v>
      </c>
      <c r="B3" s="43">
        <v>10125</v>
      </c>
      <c r="E3" s="39" t="s">
        <v>95</v>
      </c>
      <c r="F3" s="39">
        <v>-51</v>
      </c>
      <c r="I3" s="39" t="s">
        <v>70</v>
      </c>
      <c r="J3" s="39">
        <v>4431</v>
      </c>
    </row>
    <row r="4" spans="1:20" x14ac:dyDescent="0.2">
      <c r="A4" s="43" t="s">
        <v>106</v>
      </c>
      <c r="B4" s="43">
        <v>5800</v>
      </c>
      <c r="E4" s="39" t="s">
        <v>77</v>
      </c>
      <c r="F4" s="39">
        <v>-75</v>
      </c>
      <c r="I4" s="39" t="s">
        <v>106</v>
      </c>
      <c r="J4" s="39">
        <v>2635</v>
      </c>
    </row>
    <row r="5" spans="1:20" x14ac:dyDescent="0.2">
      <c r="A5" s="43" t="s">
        <v>57</v>
      </c>
      <c r="B5" s="43">
        <v>5245.71</v>
      </c>
      <c r="E5" s="39" t="s">
        <v>27</v>
      </c>
      <c r="F5" s="39">
        <v>-112</v>
      </c>
      <c r="I5" s="39" t="s">
        <v>27</v>
      </c>
      <c r="J5" s="39">
        <v>2392</v>
      </c>
    </row>
    <row r="6" spans="1:20" x14ac:dyDescent="0.2">
      <c r="A6" s="43" t="s">
        <v>27</v>
      </c>
      <c r="B6" s="43">
        <v>4896</v>
      </c>
      <c r="E6" s="39" t="s">
        <v>136</v>
      </c>
      <c r="F6" s="39">
        <v>-150</v>
      </c>
      <c r="I6" s="39" t="s">
        <v>57</v>
      </c>
      <c r="J6" s="39">
        <v>2384</v>
      </c>
    </row>
    <row r="7" spans="1:20" x14ac:dyDescent="0.2">
      <c r="A7" s="43" t="s">
        <v>42</v>
      </c>
      <c r="B7" s="43">
        <v>4766.54</v>
      </c>
      <c r="E7" s="39" t="s">
        <v>64</v>
      </c>
      <c r="F7" s="39">
        <v>-153</v>
      </c>
      <c r="I7" s="39" t="s">
        <v>42</v>
      </c>
      <c r="J7" s="39">
        <v>2166.23</v>
      </c>
    </row>
    <row r="8" spans="1:20" x14ac:dyDescent="0.2">
      <c r="A8" s="43" t="s">
        <v>161</v>
      </c>
      <c r="B8" s="43">
        <v>4590</v>
      </c>
      <c r="E8" s="39" t="s">
        <v>33</v>
      </c>
      <c r="F8" s="39">
        <v>-153.83000000000001</v>
      </c>
      <c r="I8" s="39" t="s">
        <v>161</v>
      </c>
      <c r="J8" s="39">
        <v>2086</v>
      </c>
    </row>
    <row r="9" spans="1:20" x14ac:dyDescent="0.2">
      <c r="A9" s="43" t="s">
        <v>51</v>
      </c>
      <c r="B9" s="43">
        <v>4142.8599999999997</v>
      </c>
      <c r="E9" s="39" t="s">
        <v>38</v>
      </c>
      <c r="F9" s="39">
        <v>-159.75</v>
      </c>
      <c r="I9" s="39" t="s">
        <v>51</v>
      </c>
      <c r="J9" s="39">
        <v>1882.14</v>
      </c>
    </row>
    <row r="10" spans="1:20" x14ac:dyDescent="0.2">
      <c r="A10" s="43" t="s">
        <v>31</v>
      </c>
      <c r="B10" s="43">
        <v>3866.67</v>
      </c>
      <c r="E10" s="39" t="s">
        <v>121</v>
      </c>
      <c r="F10" s="39">
        <v>-200</v>
      </c>
      <c r="I10" s="39" t="s">
        <v>31</v>
      </c>
      <c r="J10" s="39">
        <v>1756.67</v>
      </c>
    </row>
    <row r="11" spans="1:20" x14ac:dyDescent="0.2">
      <c r="A11" s="43" t="s">
        <v>79</v>
      </c>
      <c r="B11" s="43">
        <v>3400</v>
      </c>
      <c r="E11" s="39" t="s">
        <v>61</v>
      </c>
      <c r="F11" s="39">
        <v>-213</v>
      </c>
      <c r="I11" s="39" t="s">
        <v>79</v>
      </c>
      <c r="J11" s="39">
        <v>1488</v>
      </c>
    </row>
    <row r="12" spans="1:20" x14ac:dyDescent="0.2">
      <c r="A12" s="43" t="s">
        <v>61</v>
      </c>
      <c r="B12" s="43">
        <v>2307</v>
      </c>
      <c r="E12" s="39" t="s">
        <v>31</v>
      </c>
      <c r="F12" s="39">
        <v>-353.33</v>
      </c>
      <c r="I12" s="39" t="s">
        <v>61</v>
      </c>
      <c r="J12" s="39">
        <v>1047</v>
      </c>
    </row>
    <row r="13" spans="1:20" x14ac:dyDescent="0.2">
      <c r="A13" s="43" t="s">
        <v>121</v>
      </c>
      <c r="B13" s="43">
        <v>2160</v>
      </c>
      <c r="E13" s="39" t="s">
        <v>51</v>
      </c>
      <c r="F13" s="39">
        <v>-378.57</v>
      </c>
      <c r="I13" s="39" t="s">
        <v>121</v>
      </c>
      <c r="J13" s="39">
        <v>980</v>
      </c>
    </row>
    <row r="14" spans="1:20" x14ac:dyDescent="0.2">
      <c r="A14" s="43" t="s">
        <v>38</v>
      </c>
      <c r="B14" s="43">
        <v>1730.25</v>
      </c>
      <c r="E14" s="39" t="s">
        <v>161</v>
      </c>
      <c r="F14" s="39">
        <v>-418</v>
      </c>
      <c r="I14" s="39" t="s">
        <v>38</v>
      </c>
      <c r="J14" s="39">
        <v>785.25</v>
      </c>
    </row>
    <row r="15" spans="1:20" x14ac:dyDescent="0.2">
      <c r="A15" s="43" t="s">
        <v>64</v>
      </c>
      <c r="B15" s="43">
        <v>1695</v>
      </c>
      <c r="E15" s="39" t="s">
        <v>79</v>
      </c>
      <c r="F15" s="39">
        <v>-424</v>
      </c>
      <c r="I15" s="39" t="s">
        <v>64</v>
      </c>
      <c r="J15" s="39">
        <v>771</v>
      </c>
    </row>
    <row r="16" spans="1:20" x14ac:dyDescent="0.2">
      <c r="A16" s="43" t="s">
        <v>33</v>
      </c>
      <c r="B16" s="43">
        <v>1666.17</v>
      </c>
      <c r="E16" s="39" t="s">
        <v>42</v>
      </c>
      <c r="F16" s="39">
        <v>-434.08</v>
      </c>
      <c r="I16" s="39" t="s">
        <v>33</v>
      </c>
      <c r="J16" s="39">
        <v>756.17</v>
      </c>
    </row>
    <row r="17" spans="1:10" x14ac:dyDescent="0.2">
      <c r="A17" s="43" t="s">
        <v>136</v>
      </c>
      <c r="B17" s="43">
        <v>1620</v>
      </c>
      <c r="E17" s="39" t="s">
        <v>57</v>
      </c>
      <c r="F17" s="39">
        <v>-477.71</v>
      </c>
      <c r="I17" s="39" t="s">
        <v>136</v>
      </c>
      <c r="J17" s="39">
        <v>735</v>
      </c>
    </row>
    <row r="18" spans="1:10" x14ac:dyDescent="0.2">
      <c r="A18" s="43" t="s">
        <v>77</v>
      </c>
      <c r="B18" s="43">
        <v>810</v>
      </c>
      <c r="E18" s="39" t="s">
        <v>106</v>
      </c>
      <c r="F18" s="39">
        <v>-530</v>
      </c>
      <c r="I18" s="39" t="s">
        <v>77</v>
      </c>
      <c r="J18" s="39">
        <v>367.5</v>
      </c>
    </row>
    <row r="19" spans="1:10" x14ac:dyDescent="0.2">
      <c r="A19" s="43" t="s">
        <v>95</v>
      </c>
      <c r="B19" s="43">
        <v>565</v>
      </c>
      <c r="E19" s="39" t="s">
        <v>70</v>
      </c>
      <c r="F19" s="39">
        <v>-1263</v>
      </c>
      <c r="I19" s="39" t="s">
        <v>95</v>
      </c>
      <c r="J19" s="39">
        <v>257</v>
      </c>
    </row>
    <row r="20" spans="1:10" x14ac:dyDescent="0.2">
      <c r="A20" s="43" t="s">
        <v>67</v>
      </c>
      <c r="B20" s="43">
        <v>540</v>
      </c>
      <c r="E20" s="39" t="s">
        <v>124</v>
      </c>
      <c r="F20" s="39">
        <v>-1684</v>
      </c>
      <c r="I20" s="39" t="s">
        <v>67</v>
      </c>
      <c r="J20" s="39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07E-F961-794A-AE27-C0A8FB258265}">
  <dimension ref="A1:G20"/>
  <sheetViews>
    <sheetView workbookViewId="0">
      <selection activeCell="F5" sqref="F5"/>
    </sheetView>
  </sheetViews>
  <sheetFormatPr baseColWidth="10" defaultRowHeight="15" x14ac:dyDescent="0.2"/>
  <cols>
    <col min="1" max="1" width="25.5" customWidth="1"/>
    <col min="2" max="2" width="13.1640625" customWidth="1"/>
    <col min="4" max="4" width="15.5" customWidth="1"/>
    <col min="5" max="5" width="16.1640625" customWidth="1"/>
    <col min="7" max="7" width="87.83203125" style="41" customWidth="1"/>
  </cols>
  <sheetData>
    <row r="1" spans="1:7" ht="16" x14ac:dyDescent="0.2">
      <c r="A1" s="1" t="s">
        <v>12</v>
      </c>
      <c r="B1" s="1" t="s">
        <v>240</v>
      </c>
      <c r="C1" s="1" t="s">
        <v>241</v>
      </c>
      <c r="D1" s="1" t="s">
        <v>242</v>
      </c>
      <c r="E1" s="1" t="s">
        <v>243</v>
      </c>
      <c r="G1" s="30" t="s">
        <v>228</v>
      </c>
    </row>
    <row r="2" spans="1:7" ht="224" x14ac:dyDescent="0.2">
      <c r="A2" s="39" t="s">
        <v>27</v>
      </c>
      <c r="B2" s="39">
        <v>73440</v>
      </c>
      <c r="C2" s="39">
        <v>37560</v>
      </c>
      <c r="D2" s="39">
        <v>35880</v>
      </c>
      <c r="E2" s="39">
        <v>95.53</v>
      </c>
      <c r="G2" s="41" t="s">
        <v>244</v>
      </c>
    </row>
    <row r="3" spans="1:7" ht="17" x14ac:dyDescent="0.2">
      <c r="A3" s="39" t="s">
        <v>64</v>
      </c>
      <c r="B3" s="39">
        <v>5085</v>
      </c>
      <c r="C3" s="39">
        <v>2772</v>
      </c>
      <c r="D3" s="39">
        <v>2313</v>
      </c>
      <c r="E3" s="39">
        <v>83.44</v>
      </c>
      <c r="G3" s="51" t="s">
        <v>257</v>
      </c>
    </row>
    <row r="4" spans="1:7" x14ac:dyDescent="0.2">
      <c r="A4" s="39" t="s">
        <v>95</v>
      </c>
      <c r="B4" s="39">
        <v>565</v>
      </c>
      <c r="C4" s="39">
        <v>308</v>
      </c>
      <c r="D4" s="39">
        <v>257</v>
      </c>
      <c r="E4" s="39">
        <v>83.44</v>
      </c>
    </row>
    <row r="5" spans="1:7" x14ac:dyDescent="0.2">
      <c r="A5" s="39" t="s">
        <v>161</v>
      </c>
      <c r="B5" s="39">
        <v>4590</v>
      </c>
      <c r="C5" s="39">
        <v>2504</v>
      </c>
      <c r="D5" s="39">
        <v>2086</v>
      </c>
      <c r="E5" s="39">
        <v>83.31</v>
      </c>
    </row>
    <row r="6" spans="1:7" x14ac:dyDescent="0.2">
      <c r="A6" s="39" t="s">
        <v>57</v>
      </c>
      <c r="B6" s="39">
        <v>36720</v>
      </c>
      <c r="C6" s="39">
        <v>20032</v>
      </c>
      <c r="D6" s="39">
        <v>16688</v>
      </c>
      <c r="E6" s="39">
        <v>83.31</v>
      </c>
    </row>
    <row r="7" spans="1:7" x14ac:dyDescent="0.2">
      <c r="A7" s="39" t="s">
        <v>42</v>
      </c>
      <c r="B7" s="39">
        <v>61965</v>
      </c>
      <c r="C7" s="39">
        <v>33804</v>
      </c>
      <c r="D7" s="39">
        <v>28161</v>
      </c>
      <c r="E7" s="39">
        <v>83.31</v>
      </c>
    </row>
    <row r="8" spans="1:7" x14ac:dyDescent="0.2">
      <c r="A8" s="39" t="s">
        <v>106</v>
      </c>
      <c r="B8" s="39">
        <v>23200</v>
      </c>
      <c r="C8" s="39">
        <v>12660</v>
      </c>
      <c r="D8" s="39">
        <v>10540</v>
      </c>
      <c r="E8" s="39">
        <v>83.25</v>
      </c>
    </row>
    <row r="9" spans="1:7" x14ac:dyDescent="0.2">
      <c r="A9" s="39" t="s">
        <v>31</v>
      </c>
      <c r="B9" s="39">
        <v>34800</v>
      </c>
      <c r="C9" s="39">
        <v>18990</v>
      </c>
      <c r="D9" s="39">
        <v>15810</v>
      </c>
      <c r="E9" s="39">
        <v>83.25</v>
      </c>
    </row>
    <row r="10" spans="1:7" x14ac:dyDescent="0.2">
      <c r="A10" s="39" t="s">
        <v>51</v>
      </c>
      <c r="B10" s="39">
        <v>58000</v>
      </c>
      <c r="C10" s="39">
        <v>31650</v>
      </c>
      <c r="D10" s="39">
        <v>26350</v>
      </c>
      <c r="E10" s="39">
        <v>83.25</v>
      </c>
    </row>
    <row r="11" spans="1:7" x14ac:dyDescent="0.2">
      <c r="A11" s="39" t="s">
        <v>33</v>
      </c>
      <c r="B11" s="39">
        <v>9997</v>
      </c>
      <c r="C11" s="39">
        <v>5460</v>
      </c>
      <c r="D11" s="39">
        <v>4537</v>
      </c>
      <c r="E11" s="39">
        <v>83.1</v>
      </c>
    </row>
    <row r="12" spans="1:7" x14ac:dyDescent="0.2">
      <c r="A12" s="39" t="s">
        <v>38</v>
      </c>
      <c r="B12" s="39">
        <v>6921</v>
      </c>
      <c r="C12" s="39">
        <v>3780</v>
      </c>
      <c r="D12" s="39">
        <v>3141</v>
      </c>
      <c r="E12" s="39">
        <v>83.1</v>
      </c>
    </row>
    <row r="13" spans="1:7" x14ac:dyDescent="0.2">
      <c r="A13" s="39" t="s">
        <v>61</v>
      </c>
      <c r="B13" s="39">
        <v>4614</v>
      </c>
      <c r="C13" s="39">
        <v>2520</v>
      </c>
      <c r="D13" s="39">
        <v>2094</v>
      </c>
      <c r="E13" s="39">
        <v>83.1</v>
      </c>
    </row>
    <row r="14" spans="1:7" x14ac:dyDescent="0.2">
      <c r="A14" s="39" t="s">
        <v>136</v>
      </c>
      <c r="B14" s="39">
        <v>1620</v>
      </c>
      <c r="C14" s="39">
        <v>885</v>
      </c>
      <c r="D14" s="39">
        <v>735</v>
      </c>
      <c r="E14" s="39">
        <v>83.05</v>
      </c>
    </row>
    <row r="15" spans="1:7" x14ac:dyDescent="0.2">
      <c r="A15" s="39" t="s">
        <v>121</v>
      </c>
      <c r="B15" s="39">
        <v>2160</v>
      </c>
      <c r="C15" s="39">
        <v>1180</v>
      </c>
      <c r="D15" s="39">
        <v>980</v>
      </c>
      <c r="E15" s="39">
        <v>83.05</v>
      </c>
    </row>
    <row r="16" spans="1:7" x14ac:dyDescent="0.2">
      <c r="A16" s="39" t="s">
        <v>67</v>
      </c>
      <c r="B16" s="39">
        <v>1080</v>
      </c>
      <c r="C16" s="39">
        <v>590</v>
      </c>
      <c r="D16" s="39">
        <v>490</v>
      </c>
      <c r="E16" s="39">
        <v>83.05</v>
      </c>
    </row>
    <row r="17" spans="1:5" x14ac:dyDescent="0.2">
      <c r="A17" s="39" t="s">
        <v>77</v>
      </c>
      <c r="B17" s="39">
        <v>1620</v>
      </c>
      <c r="C17" s="39">
        <v>885</v>
      </c>
      <c r="D17" s="39">
        <v>735</v>
      </c>
      <c r="E17" s="39">
        <v>83.05</v>
      </c>
    </row>
    <row r="18" spans="1:5" x14ac:dyDescent="0.2">
      <c r="A18" s="39" t="s">
        <v>79</v>
      </c>
      <c r="B18" s="39">
        <v>3400</v>
      </c>
      <c r="C18" s="39">
        <v>1912</v>
      </c>
      <c r="D18" s="39">
        <v>1488</v>
      </c>
      <c r="E18" s="39">
        <v>77.819999999999993</v>
      </c>
    </row>
    <row r="19" spans="1:5" x14ac:dyDescent="0.2">
      <c r="A19" s="39" t="s">
        <v>124</v>
      </c>
      <c r="B19" s="39">
        <v>13500</v>
      </c>
      <c r="C19" s="39">
        <v>7592</v>
      </c>
      <c r="D19" s="39">
        <v>5908</v>
      </c>
      <c r="E19" s="39">
        <v>77.819999999999993</v>
      </c>
    </row>
    <row r="20" spans="1:5" x14ac:dyDescent="0.2">
      <c r="A20" s="39" t="s">
        <v>70</v>
      </c>
      <c r="B20" s="39">
        <v>20250</v>
      </c>
      <c r="C20" s="39">
        <v>11388</v>
      </c>
      <c r="D20" s="39">
        <v>8862</v>
      </c>
      <c r="E20" s="39">
        <v>77.819999999999993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E28B-8D72-3B48-A825-57C099D18044}">
  <dimension ref="A1:G28"/>
  <sheetViews>
    <sheetView tabSelected="1" workbookViewId="0">
      <selection activeCell="A7" sqref="A7"/>
    </sheetView>
  </sheetViews>
  <sheetFormatPr baseColWidth="10" defaultRowHeight="15" x14ac:dyDescent="0.2"/>
  <cols>
    <col min="1" max="1" width="60.5" customWidth="1"/>
    <col min="2" max="2" width="13.5" customWidth="1"/>
    <col min="3" max="3" width="13.83203125" customWidth="1"/>
    <col min="4" max="4" width="16.33203125" customWidth="1"/>
    <col min="5" max="5" width="15" customWidth="1"/>
    <col min="6" max="6" width="26.6640625" customWidth="1"/>
  </cols>
  <sheetData>
    <row r="1" spans="1:7" x14ac:dyDescent="0.2">
      <c r="A1" s="2" t="s">
        <v>12</v>
      </c>
      <c r="B1" s="2" t="s">
        <v>240</v>
      </c>
      <c r="C1" s="2" t="s">
        <v>241</v>
      </c>
      <c r="D1" s="2" t="s">
        <v>242</v>
      </c>
      <c r="E1" s="2" t="s">
        <v>243</v>
      </c>
      <c r="F1" s="2" t="s">
        <v>245</v>
      </c>
      <c r="G1" s="2" t="s">
        <v>246</v>
      </c>
    </row>
    <row r="2" spans="1:7" x14ac:dyDescent="0.2">
      <c r="A2" s="45" t="s">
        <v>27</v>
      </c>
      <c r="B2" s="45">
        <v>73440</v>
      </c>
      <c r="C2" s="45">
        <v>37560</v>
      </c>
      <c r="D2" s="45">
        <v>35880</v>
      </c>
      <c r="E2" s="45">
        <v>95.53</v>
      </c>
      <c r="F2" s="45" t="s">
        <v>21</v>
      </c>
      <c r="G2" s="45" t="s">
        <v>22</v>
      </c>
    </row>
    <row r="3" spans="1:7" x14ac:dyDescent="0.2">
      <c r="A3" s="45" t="s">
        <v>42</v>
      </c>
      <c r="B3" s="45">
        <v>61965</v>
      </c>
      <c r="C3" s="45">
        <v>33804</v>
      </c>
      <c r="D3" s="45">
        <v>28161</v>
      </c>
      <c r="E3" s="45">
        <v>83.31</v>
      </c>
      <c r="F3" s="45" t="s">
        <v>21</v>
      </c>
      <c r="G3" s="45" t="s">
        <v>28</v>
      </c>
    </row>
    <row r="4" spans="1:7" x14ac:dyDescent="0.2">
      <c r="A4" s="45" t="s">
        <v>51</v>
      </c>
      <c r="B4" s="45">
        <v>58000</v>
      </c>
      <c r="C4" s="45">
        <v>31650</v>
      </c>
      <c r="D4" s="45">
        <v>26350</v>
      </c>
      <c r="E4" s="45">
        <v>83.25</v>
      </c>
      <c r="F4" s="45" t="s">
        <v>21</v>
      </c>
      <c r="G4" s="45" t="s">
        <v>22</v>
      </c>
    </row>
    <row r="5" spans="1:7" x14ac:dyDescent="0.2">
      <c r="A5" s="45" t="s">
        <v>57</v>
      </c>
      <c r="B5" s="45">
        <v>36720</v>
      </c>
      <c r="C5" s="45">
        <v>20032</v>
      </c>
      <c r="D5" s="45">
        <v>16688</v>
      </c>
      <c r="E5" s="45">
        <v>83.31</v>
      </c>
      <c r="F5" s="45" t="s">
        <v>21</v>
      </c>
      <c r="G5" s="45" t="s">
        <v>28</v>
      </c>
    </row>
    <row r="6" spans="1:7" x14ac:dyDescent="0.2">
      <c r="A6" s="45" t="s">
        <v>31</v>
      </c>
      <c r="B6" s="45">
        <v>34800</v>
      </c>
      <c r="C6" s="45">
        <v>18990</v>
      </c>
      <c r="D6" s="45">
        <v>15810</v>
      </c>
      <c r="E6" s="45">
        <v>83.25</v>
      </c>
      <c r="F6" s="45" t="s">
        <v>21</v>
      </c>
      <c r="G6" s="45" t="s">
        <v>22</v>
      </c>
    </row>
    <row r="7" spans="1:7" x14ac:dyDescent="0.2">
      <c r="A7" s="45" t="s">
        <v>106</v>
      </c>
      <c r="B7" s="45">
        <v>23200</v>
      </c>
      <c r="C7" s="45">
        <v>12660</v>
      </c>
      <c r="D7" s="45">
        <v>10540</v>
      </c>
      <c r="E7" s="45">
        <v>83.25</v>
      </c>
      <c r="F7" s="45" t="s">
        <v>21</v>
      </c>
      <c r="G7" s="45" t="s">
        <v>22</v>
      </c>
    </row>
    <row r="8" spans="1:7" x14ac:dyDescent="0.2">
      <c r="A8" s="45" t="s">
        <v>70</v>
      </c>
      <c r="B8" s="45">
        <v>20250</v>
      </c>
      <c r="C8" s="45">
        <v>11388</v>
      </c>
      <c r="D8" s="45">
        <v>8862</v>
      </c>
      <c r="E8" s="45">
        <v>77.819999999999993</v>
      </c>
      <c r="F8" s="45" t="s">
        <v>35</v>
      </c>
      <c r="G8" s="45" t="s">
        <v>22</v>
      </c>
    </row>
    <row r="9" spans="1:7" x14ac:dyDescent="0.2">
      <c r="A9" s="45" t="s">
        <v>124</v>
      </c>
      <c r="B9" s="45">
        <v>13500</v>
      </c>
      <c r="C9" s="45">
        <v>7592</v>
      </c>
      <c r="D9" s="45">
        <v>5908</v>
      </c>
      <c r="E9" s="45">
        <v>77.819999999999993</v>
      </c>
      <c r="F9" s="45" t="s">
        <v>21</v>
      </c>
      <c r="G9" s="45" t="s">
        <v>22</v>
      </c>
    </row>
    <row r="10" spans="1:7" x14ac:dyDescent="0.2">
      <c r="A10" s="45" t="s">
        <v>33</v>
      </c>
      <c r="B10" s="45">
        <v>9997</v>
      </c>
      <c r="C10" s="45">
        <v>5460</v>
      </c>
      <c r="D10" s="45">
        <v>4537</v>
      </c>
      <c r="E10" s="45">
        <v>83.1</v>
      </c>
      <c r="F10" s="45" t="s">
        <v>21</v>
      </c>
      <c r="G10" s="45" t="s">
        <v>28</v>
      </c>
    </row>
    <row r="11" spans="1:7" x14ac:dyDescent="0.2">
      <c r="A11" s="45" t="s">
        <v>38</v>
      </c>
      <c r="B11" s="45">
        <v>6921</v>
      </c>
      <c r="C11" s="45">
        <v>3780</v>
      </c>
      <c r="D11" s="45">
        <v>3141</v>
      </c>
      <c r="E11" s="45">
        <v>83.1</v>
      </c>
      <c r="F11" s="45" t="s">
        <v>35</v>
      </c>
      <c r="G11" s="45" t="s">
        <v>22</v>
      </c>
    </row>
    <row r="12" spans="1:7" x14ac:dyDescent="0.2">
      <c r="A12" s="45" t="s">
        <v>64</v>
      </c>
      <c r="B12" s="45">
        <v>5085</v>
      </c>
      <c r="C12" s="45">
        <v>2772</v>
      </c>
      <c r="D12" s="45">
        <v>2313</v>
      </c>
      <c r="E12" s="45">
        <v>83.44</v>
      </c>
      <c r="F12" s="45" t="s">
        <v>41</v>
      </c>
      <c r="G12" s="45" t="s">
        <v>22</v>
      </c>
    </row>
    <row r="13" spans="1:7" x14ac:dyDescent="0.2">
      <c r="A13" s="45" t="s">
        <v>61</v>
      </c>
      <c r="B13" s="45">
        <v>4614</v>
      </c>
      <c r="C13" s="45">
        <v>2520</v>
      </c>
      <c r="D13" s="45">
        <v>2094</v>
      </c>
      <c r="E13" s="45">
        <v>83.1</v>
      </c>
      <c r="F13" s="45" t="s">
        <v>35</v>
      </c>
      <c r="G13" s="45" t="s">
        <v>28</v>
      </c>
    </row>
    <row r="14" spans="1:7" x14ac:dyDescent="0.2">
      <c r="A14" s="45" t="s">
        <v>161</v>
      </c>
      <c r="B14" s="45">
        <v>4590</v>
      </c>
      <c r="C14" s="45">
        <v>2504</v>
      </c>
      <c r="D14" s="45">
        <v>2086</v>
      </c>
      <c r="E14" s="45">
        <v>83.31</v>
      </c>
      <c r="F14" s="45" t="s">
        <v>21</v>
      </c>
      <c r="G14" s="45" t="s">
        <v>22</v>
      </c>
    </row>
    <row r="15" spans="1:7" x14ac:dyDescent="0.2">
      <c r="A15" s="45" t="s">
        <v>79</v>
      </c>
      <c r="B15" s="45">
        <v>3400</v>
      </c>
      <c r="C15" s="45">
        <v>1912</v>
      </c>
      <c r="D15" s="45">
        <v>1488</v>
      </c>
      <c r="E15" s="45">
        <v>77.819999999999993</v>
      </c>
      <c r="F15" s="45" t="s">
        <v>35</v>
      </c>
      <c r="G15" s="45" t="s">
        <v>22</v>
      </c>
    </row>
    <row r="16" spans="1:7" x14ac:dyDescent="0.2">
      <c r="A16" s="45" t="s">
        <v>121</v>
      </c>
      <c r="B16" s="45">
        <v>2160</v>
      </c>
      <c r="C16" s="45">
        <v>1180</v>
      </c>
      <c r="D16" s="45">
        <v>980</v>
      </c>
      <c r="E16" s="45">
        <v>83.05</v>
      </c>
      <c r="F16" s="45" t="s">
        <v>41</v>
      </c>
      <c r="G16" s="45" t="s">
        <v>22</v>
      </c>
    </row>
    <row r="17" spans="1:7" x14ac:dyDescent="0.2">
      <c r="A17" s="45" t="s">
        <v>77</v>
      </c>
      <c r="B17" s="45">
        <v>1620</v>
      </c>
      <c r="C17" s="45">
        <v>885</v>
      </c>
      <c r="D17" s="45">
        <v>735</v>
      </c>
      <c r="E17" s="45">
        <v>83.05</v>
      </c>
      <c r="F17" s="45" t="s">
        <v>41</v>
      </c>
      <c r="G17" s="45" t="s">
        <v>28</v>
      </c>
    </row>
    <row r="18" spans="1:7" x14ac:dyDescent="0.2">
      <c r="A18" s="45" t="s">
        <v>136</v>
      </c>
      <c r="B18" s="45">
        <v>1620</v>
      </c>
      <c r="C18" s="45">
        <v>885</v>
      </c>
      <c r="D18" s="45">
        <v>735</v>
      </c>
      <c r="E18" s="45">
        <v>83.05</v>
      </c>
      <c r="F18" s="45" t="s">
        <v>35</v>
      </c>
      <c r="G18" s="45" t="s">
        <v>28</v>
      </c>
    </row>
    <row r="19" spans="1:7" x14ac:dyDescent="0.2">
      <c r="A19" s="45" t="s">
        <v>67</v>
      </c>
      <c r="B19" s="45">
        <v>1080</v>
      </c>
      <c r="C19" s="45">
        <v>590</v>
      </c>
      <c r="D19" s="45">
        <v>490</v>
      </c>
      <c r="E19" s="45">
        <v>83.05</v>
      </c>
      <c r="F19" s="45" t="s">
        <v>21</v>
      </c>
      <c r="G19" s="45" t="s">
        <v>22</v>
      </c>
    </row>
    <row r="20" spans="1:7" x14ac:dyDescent="0.2">
      <c r="A20" s="45" t="s">
        <v>95</v>
      </c>
      <c r="B20" s="45">
        <v>565</v>
      </c>
      <c r="C20" s="45">
        <v>308</v>
      </c>
      <c r="D20" s="45">
        <v>257</v>
      </c>
      <c r="E20" s="45">
        <v>83.44</v>
      </c>
      <c r="F20" s="45" t="s">
        <v>21</v>
      </c>
      <c r="G20" s="45" t="s">
        <v>22</v>
      </c>
    </row>
    <row r="21" spans="1:7" x14ac:dyDescent="0.2">
      <c r="A21" s="46" t="s">
        <v>248</v>
      </c>
      <c r="B21" s="47">
        <f>SUBTOTAL(9,B2:B20)</f>
        <v>363527</v>
      </c>
      <c r="C21" s="47">
        <f>SUBTOTAL(9,C2:C20)</f>
        <v>196472</v>
      </c>
      <c r="D21" s="47">
        <f>SUBTOTAL(9,D2:D20)</f>
        <v>167055</v>
      </c>
      <c r="E21" s="47"/>
    </row>
    <row r="22" spans="1:7" x14ac:dyDescent="0.2">
      <c r="A22" s="3"/>
      <c r="B22" s="3"/>
      <c r="C22" s="3"/>
      <c r="D22" s="3"/>
      <c r="E22" s="3"/>
    </row>
    <row r="23" spans="1:7" x14ac:dyDescent="0.2">
      <c r="A23" s="48" t="s">
        <v>247</v>
      </c>
      <c r="B23" s="48">
        <f>SUBTOTAL(9,B15:B22)</f>
        <v>10445</v>
      </c>
      <c r="C23" s="48">
        <f>SUBTOTAL(9,C15:C22)</f>
        <v>5760</v>
      </c>
      <c r="D23" s="48">
        <f>SUBTOTAL(9,D15:D22)</f>
        <v>4685</v>
      </c>
      <c r="E23" s="48"/>
    </row>
    <row r="24" spans="1:7" x14ac:dyDescent="0.2">
      <c r="A24" s="3"/>
      <c r="B24" s="3"/>
      <c r="C24" s="3"/>
      <c r="D24" s="3"/>
      <c r="E24" s="3"/>
    </row>
    <row r="25" spans="1:7" ht="16" x14ac:dyDescent="0.2">
      <c r="A25" s="50" t="s">
        <v>256</v>
      </c>
    </row>
    <row r="26" spans="1:7" x14ac:dyDescent="0.2">
      <c r="A26" s="49" t="s">
        <v>228</v>
      </c>
    </row>
    <row r="27" spans="1:7" ht="409.6" x14ac:dyDescent="0.2">
      <c r="A27" s="41" t="s">
        <v>249</v>
      </c>
    </row>
    <row r="28" spans="1:7" x14ac:dyDescent="0.2">
      <c r="A28" s="41"/>
    </row>
  </sheetData>
  <autoFilter ref="A1:G20" xr:uid="{A682E28B-8D72-3B48-A825-57C099D18044}">
    <sortState xmlns:xlrd2="http://schemas.microsoft.com/office/spreadsheetml/2017/richdata2" ref="A2:G20">
      <sortCondition descending="1" ref="B1:B20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5269-D1B9-B442-85D5-9E4E8BC6006F}">
  <dimension ref="A1:G25"/>
  <sheetViews>
    <sheetView workbookViewId="0">
      <selection activeCell="G17" sqref="G17"/>
    </sheetView>
  </sheetViews>
  <sheetFormatPr baseColWidth="10" defaultRowHeight="15" x14ac:dyDescent="0.2"/>
  <cols>
    <col min="1" max="1" width="22.33203125" customWidth="1"/>
    <col min="2" max="2" width="23.5" customWidth="1"/>
    <col min="3" max="3" width="17.5" customWidth="1"/>
    <col min="4" max="4" width="19.1640625" customWidth="1"/>
    <col min="5" max="5" width="19.83203125" customWidth="1"/>
    <col min="6" max="6" width="25.1640625" customWidth="1"/>
    <col min="7" max="7" width="74.33203125" customWidth="1"/>
  </cols>
  <sheetData>
    <row r="1" spans="1:6" x14ac:dyDescent="0.2">
      <c r="A1" s="2" t="s">
        <v>8</v>
      </c>
      <c r="B1" s="2" t="s">
        <v>250</v>
      </c>
      <c r="C1" s="2" t="s">
        <v>251</v>
      </c>
      <c r="D1" s="2" t="s">
        <v>9</v>
      </c>
      <c r="E1" s="2" t="s">
        <v>252</v>
      </c>
      <c r="F1" s="2" t="s">
        <v>253</v>
      </c>
    </row>
    <row r="2" spans="1:6" x14ac:dyDescent="0.2">
      <c r="A2" s="45" t="s">
        <v>23</v>
      </c>
      <c r="B2" s="45">
        <v>88.94</v>
      </c>
      <c r="C2" s="45">
        <v>63917</v>
      </c>
      <c r="D2" s="45" t="s">
        <v>24</v>
      </c>
      <c r="E2" s="45">
        <v>95.22</v>
      </c>
      <c r="F2" s="45">
        <v>36583</v>
      </c>
    </row>
    <row r="3" spans="1:6" x14ac:dyDescent="0.2">
      <c r="A3" s="45" t="s">
        <v>23</v>
      </c>
      <c r="B3" s="45">
        <v>88.94</v>
      </c>
      <c r="C3" s="45">
        <v>63917</v>
      </c>
      <c r="D3" s="45" t="s">
        <v>44</v>
      </c>
      <c r="E3" s="45">
        <v>82.65</v>
      </c>
      <c r="F3" s="45">
        <v>14114</v>
      </c>
    </row>
    <row r="4" spans="1:6" x14ac:dyDescent="0.2">
      <c r="A4" s="45" t="s">
        <v>23</v>
      </c>
      <c r="B4" s="45">
        <v>88.94</v>
      </c>
      <c r="C4" s="45">
        <v>63917</v>
      </c>
      <c r="D4" s="45" t="s">
        <v>66</v>
      </c>
      <c r="E4" s="45">
        <v>80.760000000000005</v>
      </c>
      <c r="F4" s="45">
        <v>13220</v>
      </c>
    </row>
    <row r="5" spans="1:6" x14ac:dyDescent="0.2">
      <c r="A5" s="45" t="s">
        <v>82</v>
      </c>
      <c r="B5" s="45">
        <v>83.28</v>
      </c>
      <c r="C5" s="45">
        <v>20981</v>
      </c>
      <c r="D5" s="45" t="s">
        <v>83</v>
      </c>
      <c r="E5" s="45">
        <v>83.31</v>
      </c>
      <c r="F5" s="45">
        <v>9387</v>
      </c>
    </row>
    <row r="6" spans="1:6" x14ac:dyDescent="0.2">
      <c r="A6" s="45" t="s">
        <v>82</v>
      </c>
      <c r="B6" s="45">
        <v>83.28</v>
      </c>
      <c r="C6" s="45">
        <v>20981</v>
      </c>
      <c r="D6" s="45" t="s">
        <v>119</v>
      </c>
      <c r="E6" s="45">
        <v>83.25</v>
      </c>
      <c r="F6" s="45">
        <v>4216</v>
      </c>
    </row>
    <row r="7" spans="1:6" x14ac:dyDescent="0.2">
      <c r="A7" s="45" t="s">
        <v>82</v>
      </c>
      <c r="B7" s="45">
        <v>83.28</v>
      </c>
      <c r="C7" s="45">
        <v>20981</v>
      </c>
      <c r="D7" s="45" t="s">
        <v>113</v>
      </c>
      <c r="E7" s="45">
        <v>83.25</v>
      </c>
      <c r="F7" s="45">
        <v>3162</v>
      </c>
    </row>
    <row r="8" spans="1:6" x14ac:dyDescent="0.2">
      <c r="A8" s="45" t="s">
        <v>82</v>
      </c>
      <c r="B8" s="45">
        <v>83.28</v>
      </c>
      <c r="C8" s="45">
        <v>20981</v>
      </c>
      <c r="D8" s="45" t="s">
        <v>105</v>
      </c>
      <c r="E8" s="45">
        <v>83.25</v>
      </c>
      <c r="F8" s="45">
        <v>1054</v>
      </c>
    </row>
    <row r="9" spans="1:6" x14ac:dyDescent="0.2">
      <c r="A9" s="45" t="s">
        <v>82</v>
      </c>
      <c r="B9" s="45">
        <v>83.28</v>
      </c>
      <c r="C9" s="45">
        <v>20981</v>
      </c>
      <c r="D9" s="45" t="s">
        <v>140</v>
      </c>
      <c r="E9" s="45">
        <v>83.25</v>
      </c>
      <c r="F9" s="45">
        <v>3162</v>
      </c>
    </row>
    <row r="10" spans="1:6" x14ac:dyDescent="0.2">
      <c r="A10" s="45" t="s">
        <v>47</v>
      </c>
      <c r="B10" s="45">
        <v>83.28</v>
      </c>
      <c r="C10" s="45">
        <v>13636</v>
      </c>
      <c r="D10" s="45" t="s">
        <v>131</v>
      </c>
      <c r="E10" s="45">
        <v>83.29</v>
      </c>
      <c r="F10" s="45">
        <v>3140</v>
      </c>
    </row>
    <row r="11" spans="1:6" x14ac:dyDescent="0.2">
      <c r="A11" s="45" t="s">
        <v>47</v>
      </c>
      <c r="B11" s="45">
        <v>83.28</v>
      </c>
      <c r="C11" s="45">
        <v>13636</v>
      </c>
      <c r="D11" s="45" t="s">
        <v>48</v>
      </c>
      <c r="E11" s="45">
        <v>83.28</v>
      </c>
      <c r="F11" s="45">
        <v>9442</v>
      </c>
    </row>
    <row r="12" spans="1:6" x14ac:dyDescent="0.2">
      <c r="A12" s="45" t="s">
        <v>47</v>
      </c>
      <c r="B12" s="45">
        <v>83.28</v>
      </c>
      <c r="C12" s="45">
        <v>13636</v>
      </c>
      <c r="D12" s="45" t="s">
        <v>72</v>
      </c>
      <c r="E12" s="45">
        <v>83.25</v>
      </c>
      <c r="F12" s="45">
        <v>1054</v>
      </c>
    </row>
    <row r="13" spans="1:6" x14ac:dyDescent="0.2">
      <c r="A13" s="45" t="s">
        <v>55</v>
      </c>
      <c r="B13" s="45">
        <v>83.26</v>
      </c>
      <c r="C13" s="45">
        <v>9123</v>
      </c>
      <c r="D13" s="45" t="s">
        <v>56</v>
      </c>
      <c r="E13" s="45">
        <v>83.26</v>
      </c>
      <c r="F13" s="45">
        <v>9123</v>
      </c>
    </row>
    <row r="14" spans="1:6" x14ac:dyDescent="0.2">
      <c r="A14" s="45" t="s">
        <v>29</v>
      </c>
      <c r="B14" s="45">
        <v>83.23</v>
      </c>
      <c r="C14" s="45">
        <v>9072</v>
      </c>
      <c r="D14" s="45" t="s">
        <v>30</v>
      </c>
      <c r="E14" s="45">
        <v>83.23</v>
      </c>
      <c r="F14" s="45">
        <v>9072</v>
      </c>
    </row>
    <row r="15" spans="1:6" x14ac:dyDescent="0.2">
      <c r="A15" s="45" t="s">
        <v>36</v>
      </c>
      <c r="B15" s="45">
        <v>82.26</v>
      </c>
      <c r="C15" s="45">
        <v>50326</v>
      </c>
      <c r="D15" s="45" t="s">
        <v>50</v>
      </c>
      <c r="E15" s="45">
        <v>83.29</v>
      </c>
      <c r="F15" s="45">
        <v>17786</v>
      </c>
    </row>
    <row r="16" spans="1:6" x14ac:dyDescent="0.2">
      <c r="A16" s="45" t="s">
        <v>36</v>
      </c>
      <c r="B16" s="45">
        <v>82.26</v>
      </c>
      <c r="C16" s="45">
        <v>50326</v>
      </c>
      <c r="D16" s="45" t="s">
        <v>37</v>
      </c>
      <c r="E16" s="45">
        <v>83.28</v>
      </c>
      <c r="F16" s="45">
        <v>19751</v>
      </c>
    </row>
    <row r="17" spans="1:7" ht="16" x14ac:dyDescent="0.2">
      <c r="A17" s="45" t="s">
        <v>36</v>
      </c>
      <c r="B17" s="45">
        <v>82.26</v>
      </c>
      <c r="C17" s="45">
        <v>50326</v>
      </c>
      <c r="D17" s="45" t="s">
        <v>129</v>
      </c>
      <c r="E17" s="45">
        <v>83.05</v>
      </c>
      <c r="F17" s="45">
        <v>490</v>
      </c>
      <c r="G17" s="50" t="s">
        <v>255</v>
      </c>
    </row>
    <row r="18" spans="1:7" x14ac:dyDescent="0.2">
      <c r="A18" s="45" t="s">
        <v>36</v>
      </c>
      <c r="B18" s="45">
        <v>82.26</v>
      </c>
      <c r="C18" s="45">
        <v>50326</v>
      </c>
      <c r="D18" s="45" t="s">
        <v>69</v>
      </c>
      <c r="E18" s="45">
        <v>79.25</v>
      </c>
      <c r="F18" s="45">
        <v>12299</v>
      </c>
      <c r="G18" s="49" t="s">
        <v>228</v>
      </c>
    </row>
    <row r="19" spans="1:7" ht="409.6" x14ac:dyDescent="0.2">
      <c r="D19" s="41"/>
      <c r="G19" s="41" t="s">
        <v>254</v>
      </c>
    </row>
    <row r="20" spans="1:7" x14ac:dyDescent="0.2">
      <c r="D20" s="41"/>
    </row>
    <row r="21" spans="1:7" x14ac:dyDescent="0.2">
      <c r="D21" s="41"/>
    </row>
    <row r="22" spans="1:7" x14ac:dyDescent="0.2">
      <c r="D22" s="41"/>
    </row>
    <row r="23" spans="1:7" x14ac:dyDescent="0.2">
      <c r="D23" s="41"/>
    </row>
    <row r="24" spans="1:7" x14ac:dyDescent="0.2">
      <c r="D24" s="41"/>
    </row>
    <row r="25" spans="1:7" x14ac:dyDescent="0.2">
      <c r="D25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By Region and Age Group</vt:lpstr>
      <vt:lpstr>Profit by State-Area</vt:lpstr>
      <vt:lpstr>Profit By Bike</vt:lpstr>
      <vt:lpstr>Cost Margins</vt:lpstr>
      <vt:lpstr>Sales By Gender and Age</vt:lpstr>
      <vt:lpstr>Bike Sales</vt:lpstr>
      <vt:lpstr>Data Info and Proces</vt:lpstr>
      <vt:lpstr>SQL Output 1</vt:lpstr>
      <vt:lpstr>SQL Output 2</vt:lpstr>
      <vt:lpstr>SQL Output 3</vt:lpstr>
      <vt:lpstr>SQL Output 4</vt:lpstr>
      <vt:lpstr>SQL Output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Karcy Ellie Monfiston</cp:lastModifiedBy>
  <cp:revision/>
  <dcterms:created xsi:type="dcterms:W3CDTF">2022-11-04T20:14:11Z</dcterms:created>
  <dcterms:modified xsi:type="dcterms:W3CDTF">2025-11-20T04:59:09Z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
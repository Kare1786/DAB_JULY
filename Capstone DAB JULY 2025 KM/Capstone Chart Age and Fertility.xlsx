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Bare/Downloads/DAB July 2025/CAPSTONE DAB JULY 25/"/>
    </mc:Choice>
  </mc:AlternateContent>
  <xr:revisionPtr revIDLastSave="0" documentId="13_ncr:40009_{962C1038-F0EE-D644-8F7F-6C4FA553DD77}" xr6:coauthVersionLast="47" xr6:coauthVersionMax="47" xr10:uidLastSave="{00000000-0000-0000-0000-000000000000}"/>
  <bookViews>
    <workbookView xWindow="1100" yWindow="820" windowWidth="28040" windowHeight="17440"/>
  </bookViews>
  <sheets>
    <sheet name="Sheet4" sheetId="5" r:id="rId1"/>
    <sheet name="Age and Fertility exc 45 + &amp;15" sheetId="4" r:id="rId2"/>
    <sheet name="Age and Fertility  all ages" sheetId="2" r:id="rId3"/>
    <sheet name="Age and Fertility" sheetId="1" r:id="rId4"/>
    <sheet name="NotesI de" sheetId="3" r:id="rId5"/>
  </sheets>
  <definedNames>
    <definedName name="_xlnm._FilterDatabase" localSheetId="1" hidden="1">'Age and Fertility exc 45 + &amp;15'!$A$1:$F$58</definedName>
    <definedName name="_xlchart.v1.0" hidden="1">'Age and Fertility exc 45 + &amp;15'!$A$2:$B$7</definedName>
    <definedName name="_xlchart.v1.1" hidden="1">'Age and Fertility exc 45 + &amp;15'!$C$1</definedName>
    <definedName name="_xlchart.v1.10" hidden="1">'Age and Fertility exc 45 + &amp;15'!$D$1</definedName>
    <definedName name="_xlchart.v1.11" hidden="1">'Age and Fertility exc 45 + &amp;15'!$D$2:$D$7</definedName>
    <definedName name="_xlchart.v1.12" hidden="1">'Age and Fertility exc 45 + &amp;15'!$E$1</definedName>
    <definedName name="_xlchart.v1.13" hidden="1">'Age and Fertility exc 45 + &amp;15'!$E$2:$E$7</definedName>
    <definedName name="_xlchart.v1.14" hidden="1">'Age and Fertility exc 45 + &amp;15'!$A$2:$B$7</definedName>
    <definedName name="_xlchart.v1.15" hidden="1">'Age and Fertility exc 45 + &amp;15'!$C$1</definedName>
    <definedName name="_xlchart.v1.16" hidden="1">'Age and Fertility exc 45 + &amp;15'!$C$2:$C$7</definedName>
    <definedName name="_xlchart.v1.17" hidden="1">'Age and Fertility exc 45 + &amp;15'!$D$1</definedName>
    <definedName name="_xlchart.v1.18" hidden="1">'Age and Fertility exc 45 + &amp;15'!$D$2:$D$7</definedName>
    <definedName name="_xlchart.v1.19" hidden="1">'Age and Fertility exc 45 + &amp;15'!$E$1</definedName>
    <definedName name="_xlchart.v1.2" hidden="1">'Age and Fertility exc 45 + &amp;15'!$C$2:$C$7</definedName>
    <definedName name="_xlchart.v1.20" hidden="1">'Age and Fertility exc 45 + &amp;15'!$E$2:$E$7</definedName>
    <definedName name="_xlchart.v1.21" hidden="1">'Age and Fertility exc 45 + &amp;15'!$A$2:$B$7</definedName>
    <definedName name="_xlchart.v1.22" hidden="1">'Age and Fertility exc 45 + &amp;15'!$C$1</definedName>
    <definedName name="_xlchart.v1.23" hidden="1">'Age and Fertility exc 45 + &amp;15'!$C$2:$C$7</definedName>
    <definedName name="_xlchart.v1.24" hidden="1">'Age and Fertility exc 45 + &amp;15'!$D$1</definedName>
    <definedName name="_xlchart.v1.25" hidden="1">'Age and Fertility exc 45 + &amp;15'!$D$2:$D$7</definedName>
    <definedName name="_xlchart.v1.26" hidden="1">'Age and Fertility exc 45 + &amp;15'!$E$1</definedName>
    <definedName name="_xlchart.v1.27" hidden="1">'Age and Fertility exc 45 + &amp;15'!$E$2:$E$7</definedName>
    <definedName name="_xlchart.v1.3" hidden="1">'Age and Fertility exc 45 + &amp;15'!$D$1</definedName>
    <definedName name="_xlchart.v1.4" hidden="1">'Age and Fertility exc 45 + &amp;15'!$D$2:$D$7</definedName>
    <definedName name="_xlchart.v1.5" hidden="1">'Age and Fertility exc 45 + &amp;15'!$E$1</definedName>
    <definedName name="_xlchart.v1.6" hidden="1">'Age and Fertility exc 45 + &amp;15'!$E$2:$E$7</definedName>
    <definedName name="_xlchart.v1.7" hidden="1">'Age and Fertility exc 45 + &amp;15'!$A$2:$B$7</definedName>
    <definedName name="_xlchart.v1.8" hidden="1">'Age and Fertility exc 45 + &amp;15'!$C$1</definedName>
    <definedName name="_xlchart.v1.9" hidden="1">'Age and Fertility exc 45 + &amp;15'!$C$2:$C$7</definedName>
    <definedName name="_xlchart.v2.28" hidden="1">'Age and Fertility exc 45 + &amp;15'!$A$1:$B$7</definedName>
    <definedName name="_xlchart.v2.29" hidden="1">'Age and Fertility exc 45 + &amp;15'!$A$2:$B$7</definedName>
    <definedName name="_xlchart.v2.30" hidden="1">'Age and Fertility exc 45 + &amp;15'!$C$1</definedName>
    <definedName name="_xlchart.v2.31" hidden="1">'Age and Fertility exc 45 + &amp;15'!$C$2:$C$7</definedName>
    <definedName name="_xlchart.v2.32" hidden="1">'Age and Fertility exc 45 + &amp;15'!$D$1</definedName>
    <definedName name="_xlchart.v2.33" hidden="1">'Age and Fertility exc 45 + &amp;15'!$D$2:$D$7</definedName>
    <definedName name="_xlchart.v2.34" hidden="1">'Age and Fertility exc 45 + &amp;15'!$E$1</definedName>
    <definedName name="_xlchart.v2.35" hidden="1">'Age and Fertility exc 45 + &amp;15'!$E$2:$E$7</definedName>
  </definedNames>
  <calcPr calcId="191029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<sst xmlns="http://schemas.openxmlformats.org/spreadsheetml/2006/main" count="160" uniqueCount="79">
  <si>
    <t>Notes</t>
  </si>
  <si>
    <t>Age of Mother 9</t>
  </si>
  <si>
    <t>Age of Mother 9 Code</t>
  </si>
  <si>
    <t>Births</t>
  </si>
  <si>
    <t>Female Population</t>
  </si>
  <si>
    <t>Fertility Rate</t>
  </si>
  <si>
    <t>Under 15 years</t>
  </si>
  <si>
    <t>Not Available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</si>
  <si>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</si>
  <si>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</si>
  <si>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</si>
  <si>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</si>
  <si>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</si>
  <si>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</si>
  <si>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</si>
  <si>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</si>
  <si>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</si>
  <si>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</si>
  <si>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</si>
  <si>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</si>
  <si>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</si>
  <si>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</si>
  <si>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 years and over</t>
  </si>
  <si>
    <t>50+</t>
  </si>
  <si>
    <t>Total</t>
  </si>
  <si>
    <t>---</t>
  </si>
  <si>
    <t>Dataset: Natality, 2016-2024 expanded</t>
  </si>
  <si>
    <t>Query Parameters:</t>
  </si>
  <si>
    <t>Title: Age and Fertility</t>
  </si>
  <si>
    <t>Year: 2024</t>
  </si>
  <si>
    <t>Group By: Age of Mother 9</t>
  </si>
  <si>
    <t>Show Totals: True</t>
  </si>
  <si>
    <t>Show Zero Values: False</t>
  </si>
  <si>
    <t>Show Suppressed: False</t>
  </si>
  <si>
    <t>Calculate Rates Per: 1,000</t>
  </si>
  <si>
    <t>Help: See http://wonder.cdc.gov/wonder/help/natality-expanded.html for more information.</t>
  </si>
  <si>
    <t>Query Date: Nov 10, 2025 1:11:09 AM</t>
  </si>
  <si>
    <t>Suggested Citation: Centers for Disease Control and Prevention, National Center for Health Statistics. National Vital Statistics</t>
  </si>
  <si>
    <t>System, Natality on CDC WONDER Online Database. Data are from the Natality Records 2016-2024, as compiled from data provided by</t>
  </si>
  <si>
    <t>the 57 vital statistics jurisdictions through the Vital Statistics Cooperative Program. Accessed at</t>
  </si>
  <si>
    <t>http://wonder.cdc.gov/natality-expanded-current.html on Nov 10, 2025 1:11:09 AM</t>
  </si>
  <si>
    <t>Caveats:</t>
  </si>
  <si>
    <t>1. 'Not Available' appears when the denominator population for a rate measure is not available.</t>
  </si>
  <si>
    <t>2. Each birth record represents one liveborn infant.</t>
  </si>
  <si>
    <t>3. Fertility rates are calculated as the number of births divided by the number of females age 15 - 44 years old in the given</t>
  </si>
  <si>
    <t>year(s). When the numerator is sub-set by mother's age, mother's race, mother's hispanicity, location, or year of birth, then</t>
  </si>
  <si>
    <t>the same sub-set for age, race, hispanicity, location and year applies to the denominator population. However, if you sub-set</t>
  </si>
  <si>
    <t>mother's age selecting some years not in the 15 - 44 range, those years of mother's age ouside this range will not be included</t>
  </si>
  <si>
    <t>in the denominator population. If you sub-set mother's age selecting only years outside the 15 - 44 range, then "Not</t>
  </si>
  <si>
    <t>Available" is reported for the denominator population.</t>
  </si>
  <si>
    <t>4. Birth rates and fertility rates are calculated using the following populations: The populations for year 2024 are from the</t>
  </si>
  <si>
    <t>postcensal single race series of July 1st estimates of the resident population, released by Census Bureau on June 26, 2025. The</t>
  </si>
  <si>
    <t>2024 population estimates are based on the Blended Base produced by the US Census Bureau in lieu of the April 1, 2020 decennial</t>
  </si>
  <si>
    <t>population count. The populations for year 2023 are from the postcensal single race series of July 1st estimates of the resident</t>
  </si>
  <si>
    <t>population, released by Census Bureau on June 27, 2024. The 2023 population estimates are based on the Blended Base produced by</t>
  </si>
  <si>
    <t>the US Census Bureau in lieu of the April 1, 2020 decennial population count. The populations for year 2022 are from the</t>
  </si>
  <si>
    <t>postcensal single race series of July 1st estimates of the resident population, released by Census Bureau on June 22, 2023. The</t>
  </si>
  <si>
    <t>2022 population estimates are based on the Blended Base produced by the US Census Bureau in lieu of the April 1, 2020 decennial</t>
  </si>
  <si>
    <t>population count. The populations for year 2021 are from the postcensal single race series of July 1st estimates of the resident</t>
  </si>
  <si>
    <t>population, released by Census Bureau on June 30, 2022. The 2021 population estimates are based on the Blended Base produced by</t>
  </si>
  <si>
    <t>the US Census Bureau in lieu of the April 1, 2020 decennial population count. The populations for year 2020 are from the</t>
  </si>
  <si>
    <t>postcensal single race series of July 1st estimates of the resident population, released by Census Bureau on July 27, 2021. The</t>
  </si>
  <si>
    <t>populations for year 2019 are from the postcensal single race series of July 1st estimates of the resident population, released</t>
  </si>
  <si>
    <t>by Census Bureau on June 25, 2020; The populations for year 2018 are from the postcensal single race series of July 1st</t>
  </si>
  <si>
    <t>estimates of the resident population, released by Census Bureau on June 21, 2019; The populations for year 2017 are from the</t>
  </si>
  <si>
    <t>postcensal single race series of July 1st estimates of the resident population, released by Census Bureau on June 21, 2018; The</t>
  </si>
  <si>
    <t>populations for year 2016 are from the postcensal single race series of July 1st estimates of the resident population, released</t>
  </si>
  <si>
    <t>by Census Bureau on June 22, 2017. More information:</t>
  </si>
  <si>
    <t>http://wonder.cdc.gov/wonder/help/natality-expanded.html#Denominator-Population-Sources.</t>
  </si>
  <si>
    <t xml:space="preserve">I decide to remove age groups where population is not available </t>
  </si>
  <si>
    <t>Column Labels</t>
  </si>
  <si>
    <t>Row Labels</t>
  </si>
  <si>
    <t>Grand Total</t>
  </si>
  <si>
    <t>Sum of Births</t>
  </si>
  <si>
    <t>Total Sum of Births</t>
  </si>
  <si>
    <t>Total Sum of Female Population</t>
  </si>
  <si>
    <t>Sum of Female Population</t>
  </si>
  <si>
    <t>Total Sum of Fertility Rate</t>
  </si>
  <si>
    <t>Sum of Fertility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</si>
</sst>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sng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u="sng"/>
              <a:t>Fertility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sng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'Age and Fertility exc 45 + &amp;15'!$C$1</c:f>
              <c:strCache>
                <c:ptCount val="1"/>
                <c:pt idx="0">
                  <c:v>Births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2A1-CA48-A29E-402D80567F2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A1-CA48-A29E-402D80567F2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2A1-CA48-A29E-402D80567F29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2A1-CA48-A29E-402D80567F29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F2A1-CA48-A29E-402D80567F29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2A1-CA48-A29E-402D80567F2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F2A1-CA48-A29E-402D80567F2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2A1-CA48-A29E-402D80567F2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F2A1-CA48-A29E-402D80567F2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2A1-CA48-A29E-402D80567F2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F2A1-CA48-A29E-402D80567F2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2A1-CA48-A29E-402D80567F29}"/>
                </c:ext>
              </c:extLst>
            </c:dLbl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'Age and Fertility exc 45 + &amp;15'!$A$2:$B$7</c15:sqref>
                  </c15:fullRef>
                  <c15:levelRef>
                    <c15:sqref>'Age and Fertility exc 45 + &amp;15'!$A$2:$A$7</c15:sqref>
                  </c15:levelRef>
                </c:ext>
              </c:extLst>
              <c:f>'Age and Fertility exc 45 + &amp;15'!$A$2:$A$7</c:f>
              <c:strCache>
                <c:ptCount val="6"/>
                <c:pt idx="0">
                  <c:v>15-19 years</c:v>
                </c:pt>
                <c:pt idx="1">
                  <c:v>20-24 years</c:v>
                </c:pt>
                <c:pt idx="2">
                  <c:v>25-29 years</c:v>
                </c:pt>
                <c:pt idx="3">
                  <c:v>30-34 years</c:v>
                </c:pt>
                <c:pt idx="4">
                  <c:v>35-39 years</c:v>
                </c:pt>
                <c:pt idx="5">
                  <c:v>40-44 years</c:v>
                </c:pt>
              </c:strCache>
            </c:strRef>
          </c:cat>
          <c:val>
            <c:numRef>
              <c:f>'Age and Fertility exc 45 + &amp;15'!$C$2:$C$7</c:f>
              <c:numCache>
                <c:formatCode>General</c:formatCode>
                <c:ptCount val="6"/>
                <c:pt idx="0">
                  <c:v>137273</c:v>
                </c:pt>
                <c:pt idx="1">
                  <c:v>611800</c:v>
                </c:pt>
                <c:pt idx="2">
                  <c:v>990817</c:v>
                </c:pt>
                <c:pt idx="3">
                  <c:v>1112409</c:v>
                </c:pt>
                <c:pt idx="4">
                  <c:v>622517</c:v>
                </c:pt>
                <c:pt idx="5">
                  <c:v>141515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1-CA48-A29E-402D80567F29}"/>
            </c:ext>
          </c:extLst>
        </c:ser>
        <c:ser>
          <c:idx val="1"/>
          <c:order val="1"/>
          <c:tx>
            <c:strRef>
              <c:f>'Age and Fertility exc 45 + &amp;15'!$D$1</c:f>
              <c:strCache>
                <c:ptCount val="1"/>
                <c:pt idx="0">
                  <c:v>Female Population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F2A1-CA48-A29E-402D80567F2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2A1-CA48-A29E-402D80567F2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F2A1-CA48-A29E-402D80567F29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2A1-CA48-A29E-402D80567F29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F2A1-CA48-A29E-402D80567F29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2A1-CA48-A29E-402D80567F2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F2A1-CA48-A29E-402D80567F2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2A1-CA48-A29E-402D80567F2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F2A1-CA48-A29E-402D80567F2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2A1-CA48-A29E-402D80567F2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F2A1-CA48-A29E-402D80567F2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F2A1-CA48-A29E-402D80567F29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'Age and Fertility exc 45 + &amp;15'!$A$2:$B$7</c15:sqref>
                  </c15:fullRef>
                  <c15:levelRef>
                    <c15:sqref>'Age and Fertility exc 45 + &amp;15'!$A$2:$A$7</c15:sqref>
                  </c15:levelRef>
                </c:ext>
              </c:extLst>
              <c:f>'Age and Fertility exc 45 + &amp;15'!$A$2:$A$7</c:f>
              <c:strCache>
                <c:ptCount val="6"/>
                <c:pt idx="0">
                  <c:v>15-19 years</c:v>
                </c:pt>
                <c:pt idx="1">
                  <c:v>20-24 years</c:v>
                </c:pt>
                <c:pt idx="2">
                  <c:v>25-29 years</c:v>
                </c:pt>
                <c:pt idx="3">
                  <c:v>30-34 years</c:v>
                </c:pt>
                <c:pt idx="4">
                  <c:v>35-39 years</c:v>
                </c:pt>
                <c:pt idx="5">
                  <c:v>40-44 years</c:v>
                </c:pt>
              </c:strCache>
            </c:strRef>
          </c:cat>
          <c:val>
            <c:numRef>
              <c:f>'Age and Fertility exc 45 + &amp;15'!$D$2:$D$7</c:f>
              <c:numCache>
                <c:formatCode>General</c:formatCode>
                <c:ptCount val="6"/>
                <c:pt idx="0">
                  <c:v>10914056</c:v>
                </c:pt>
                <c:pt idx="1">
                  <c:v>10970121</c:v>
                </c:pt>
                <c:pt idx="2">
                  <c:v>11069140</c:v>
                </c:pt>
                <c:pt idx="3">
                  <c:v>11866273</c:v>
                </c:pt>
                <c:pt idx="4">
                  <c:v>11467859</c:v>
                </c:pt>
                <c:pt idx="5">
                  <c:v>11115417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A1-CA48-A29E-402D80567F29}"/>
            </c:ext>
          </c:extLst>
        </c:ser>
        <c:ser>
          <c:idx val="2"/>
          <c:order val="2"/>
          <c:tx>
            <c:strRef>
              <c:f>'Age and Fertility exc 45 + &amp;15'!$E$1</c:f>
              <c:strCache>
                <c:ptCount val="1"/>
                <c:pt idx="0">
                  <c:v>Fertility 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F2A1-CA48-A29E-402D80567F2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2A1-CA48-A29E-402D80567F2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F2A1-CA48-A29E-402D80567F29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2A1-CA48-A29E-402D80567F29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F2A1-CA48-A29E-402D80567F29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F2A1-CA48-A29E-402D80567F2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F2A1-CA48-A29E-402D80567F2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2A1-CA48-A29E-402D80567F2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F2A1-CA48-A29E-402D80567F2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F2A1-CA48-A29E-402D80567F2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F2A1-CA48-A29E-402D80567F2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2A1-CA48-A29E-402D80567F29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'Age and Fertility exc 45 + &amp;15'!$A$2:$B$7</c15:sqref>
                  </c15:fullRef>
                  <c15:levelRef>
                    <c15:sqref>'Age and Fertility exc 45 + &amp;15'!$A$2:$A$7</c15:sqref>
                  </c15:levelRef>
                </c:ext>
              </c:extLst>
              <c:f>'Age and Fertility exc 45 + &amp;15'!$A$2:$A$7</c:f>
              <c:strCache>
                <c:ptCount val="6"/>
                <c:pt idx="0">
                  <c:v>15-19 years</c:v>
                </c:pt>
                <c:pt idx="1">
                  <c:v>20-24 years</c:v>
                </c:pt>
                <c:pt idx="2">
                  <c:v>25-29 years</c:v>
                </c:pt>
                <c:pt idx="3">
                  <c:v>30-34 years</c:v>
                </c:pt>
                <c:pt idx="4">
                  <c:v>35-39 years</c:v>
                </c:pt>
                <c:pt idx="5">
                  <c:v>40-44 years</c:v>
                </c:pt>
              </c:strCache>
            </c:strRef>
          </c:cat>
          <c:val>
            <c:numRef>
              <c:f>'Age and Fertility exc 45 + &amp;15'!$E$2:$E$7</c:f>
              <c:numCache>
                <c:formatCode>General</c:formatCode>
                <c:ptCount val="6"/>
                <c:pt idx="0">
                  <c:v>12.58</c:v>
                </c:pt>
                <c:pt idx="1">
                  <c:v>55.77</c:v>
                </c:pt>
                <c:pt idx="2">
                  <c:v>89.51</c:v>
                </c:pt>
                <c:pt idx="3">
                  <c:v>93.75</c:v>
                </c:pt>
                <c:pt idx="4">
                  <c:v>54.28</c:v>
                </c:pt>
                <c:pt idx="5">
                  <c:v>12.73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A1-CA48-A29E-402D80567F2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5</xdr:row>
      <xdr:rowOff>50800</xdr:rowOff>
    </xdr:from>
    <xdr:to>
      <xdr:col>17</xdr:col>
      <xdr:colOff>584200</xdr:colOff>
      <xdr:row>46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57072-4A75-FB47-86AC-D82995340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rcy Ellie Monfiston" refreshedDate="45970.855016435184" createdVersion="7" refreshedVersion="7" minRefreshableVersion="3" recordCount="6">
  <cacheSource type="worksheet">
    <worksheetSource ref="A1:E7" sheet="Age and Fertility exc 45 + &amp;15"/>
  </cacheSource>
  <cacheFields count="5">
    <cacheField name="Age of Mother 9" numFmtId="0">
      <sharedItems count="6">
        <s v="15-19 years"/>
        <s v="20-24 years"/>
        <s v="25-29 years"/>
        <s v="30-34 years"/>
        <s v="35-39 years"/>
        <s v="40-44 years"/>
      </sharedItems>
    </cacheField>
    <cacheField name="Age of Mother 9 Code" numFmtId="0">
      <sharedItems count="6">
        <s v="15-19"/>
        <s v="20-24"/>
        <s v="25-29"/>
        <s v="30-34"/>
        <s v="35-39"/>
        <s v="40-44"/>
      </sharedItems>
    </cacheField>
    <cacheField name="Births" numFmtId="0">
      <sharedItems containsSemiMixedTypes="0" containsString="0" containsNumber="1" containsInteger="1" minValue="137273" maxValue="1112409"/>
    </cacheField>
    <cacheField name="Female Population" numFmtId="0">
      <sharedItems containsSemiMixedTypes="0" containsString="0" containsNumber="1" containsInteger="1" minValue="10914056" maxValue="11866273"/>
    </cacheField>
    <cacheField name="Fertility Rate" numFmtId="0">
      <sharedItems containsSemiMixedTypes="0" containsString="0" containsNumber="1" minValue="12.58" maxValue="93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n v="137273"/>
    <n v="10914056"/>
    <n v="12.58"/>
  </r>
  <r>
    <x v="1"/>
    <x v="1"/>
    <n v="611800"/>
    <n v="10970121"/>
    <n v="55.77"/>
  </r>
  <r>
    <x v="2"/>
    <x v="2"/>
    <n v="990817"/>
    <n v="11069140"/>
    <n v="89.51"/>
  </r>
  <r>
    <x v="3"/>
    <x v="3"/>
    <n v="1112409"/>
    <n v="11866273"/>
    <n v="93.75"/>
  </r>
  <r>
    <x v="4"/>
    <x v="4"/>
    <n v="622517"/>
    <n v="11467859"/>
    <n v="54.28"/>
  </r>
  <r>
    <x v="5"/>
    <x v="5"/>
    <n v="141515"/>
    <n v="11115417"/>
    <n v="12.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V12" firstHeaderRow="1" firstDataRow="3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21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Births" fld="2" baseField="0" baseItem="0"/>
    <dataField name="Sum of Female Population" fld="3" baseField="0" baseItem="0"/>
    <dataField name="Sum of Fertility Rat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12"/>
  <sheetViews>
    <sheetView tabSelected="1"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5.5" bestFit="1" customWidth="1"/>
    <col min="3" max="3" width="23.1640625" bestFit="1" customWidth="1"/>
    <col min="4" max="4" width="18.5" bestFit="1" customWidth="1"/>
    <col min="5" max="5" width="12.33203125" bestFit="1" customWidth="1"/>
    <col min="6" max="6" width="23.1640625" bestFit="1" customWidth="1"/>
    <col min="7" max="7" width="18.5" bestFit="1" customWidth="1"/>
    <col min="8" max="8" width="12.33203125" bestFit="1" customWidth="1"/>
    <col min="9" max="9" width="23.1640625" bestFit="1" customWidth="1"/>
    <col min="10" max="10" width="18.5" bestFit="1" customWidth="1"/>
    <col min="11" max="11" width="12.33203125" bestFit="1" customWidth="1"/>
    <col min="12" max="12" width="23.1640625" bestFit="1" customWidth="1"/>
    <col min="13" max="13" width="18.5" bestFit="1" customWidth="1"/>
    <col min="14" max="14" width="12.33203125" bestFit="1" customWidth="1"/>
    <col min="15" max="15" width="23.1640625" bestFit="1" customWidth="1"/>
    <col min="16" max="16" width="18.5" bestFit="1" customWidth="1"/>
    <col min="17" max="17" width="12.33203125" bestFit="1" customWidth="1"/>
    <col min="18" max="18" width="23.1640625" bestFit="1" customWidth="1"/>
    <col min="19" max="19" width="18.5" bestFit="1" customWidth="1"/>
    <col min="20" max="20" width="17.1640625" bestFit="1" customWidth="1"/>
    <col min="21" max="21" width="28" bestFit="1" customWidth="1"/>
    <col min="22" max="22" width="23.33203125" bestFit="1" customWidth="1"/>
  </cols>
  <sheetData>
    <row r="3" spans="1:22" x14ac:dyDescent="0.2">
      <c r="B3" s="2" t="s">
        <v>70</v>
      </c>
    </row>
    <row r="4" spans="1:22" x14ac:dyDescent="0.2">
      <c r="B4" t="s">
        <v>9</v>
      </c>
      <c r="E4" t="s">
        <v>11</v>
      </c>
      <c r="H4" t="s">
        <v>13</v>
      </c>
      <c r="K4" t="s">
        <v>15</v>
      </c>
      <c r="N4" t="s">
        <v>17</v>
      </c>
      <c r="Q4" t="s">
        <v>19</v>
      </c>
      <c r="T4" t="s">
        <v>74</v>
      </c>
      <c r="U4" t="s">
        <v>75</v>
      </c>
      <c r="V4" t="s">
        <v>77</v>
      </c>
    </row>
    <row r="5" spans="1:22" x14ac:dyDescent="0.2">
      <c r="A5" s="2" t="s">
        <v>71</v>
      </c>
      <c r="B5" t="s">
        <v>73</v>
      </c>
      <c r="C5" t="s">
        <v>76</v>
      </c>
      <c r="D5" t="s">
        <v>78</v>
      </c>
      <c r="E5" t="s">
        <v>73</v>
      </c>
      <c r="F5" t="s">
        <v>76</v>
      </c>
      <c r="G5" t="s">
        <v>78</v>
      </c>
      <c r="H5" t="s">
        <v>73</v>
      </c>
      <c r="I5" t="s">
        <v>76</v>
      </c>
      <c r="J5" t="s">
        <v>78</v>
      </c>
      <c r="K5" t="s">
        <v>73</v>
      </c>
      <c r="L5" t="s">
        <v>76</v>
      </c>
      <c r="M5" t="s">
        <v>78</v>
      </c>
      <c r="N5" t="s">
        <v>73</v>
      </c>
      <c r="O5" t="s">
        <v>76</v>
      </c>
      <c r="P5" t="s">
        <v>78</v>
      </c>
      <c r="Q5" t="s">
        <v>73</v>
      </c>
      <c r="R5" t="s">
        <v>76</v>
      </c>
      <c r="S5" t="s">
        <v>78</v>
      </c>
    </row>
    <row r="6" spans="1:22" x14ac:dyDescent="0.2">
      <c r="A6" s="3" t="s">
        <v>8</v>
      </c>
      <c r="B6" s="4">
        <v>137273</v>
      </c>
      <c r="C6" s="4">
        <v>10914056</v>
      </c>
      <c r="D6" s="4">
        <v>12.58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>
        <v>137273</v>
      </c>
      <c r="U6" s="4">
        <v>10914056</v>
      </c>
      <c r="V6" s="4">
        <v>12.58</v>
      </c>
    </row>
    <row r="7" spans="1:22" x14ac:dyDescent="0.2">
      <c r="A7" s="3" t="s">
        <v>10</v>
      </c>
      <c r="B7" s="4"/>
      <c r="C7" s="4"/>
      <c r="D7" s="4"/>
      <c r="E7" s="4">
        <v>611800</v>
      </c>
      <c r="F7" s="4">
        <v>10970121</v>
      </c>
      <c r="G7" s="4">
        <v>55.77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>
        <v>611800</v>
      </c>
      <c r="U7" s="4">
        <v>10970121</v>
      </c>
      <c r="V7" s="4">
        <v>55.77</v>
      </c>
    </row>
    <row r="8" spans="1:22" x14ac:dyDescent="0.2">
      <c r="A8" s="3" t="s">
        <v>12</v>
      </c>
      <c r="B8" s="4"/>
      <c r="C8" s="4"/>
      <c r="D8" s="4"/>
      <c r="E8" s="4"/>
      <c r="F8" s="4"/>
      <c r="G8" s="4"/>
      <c r="H8" s="4">
        <v>990817</v>
      </c>
      <c r="I8" s="4">
        <v>11069140</v>
      </c>
      <c r="J8" s="4">
        <v>89.51</v>
      </c>
      <c r="K8" s="4"/>
      <c r="L8" s="4"/>
      <c r="M8" s="4"/>
      <c r="N8" s="4"/>
      <c r="O8" s="4"/>
      <c r="P8" s="4"/>
      <c r="Q8" s="4"/>
      <c r="R8" s="4"/>
      <c r="S8" s="4"/>
      <c r="T8" s="4">
        <v>990817</v>
      </c>
      <c r="U8" s="4">
        <v>11069140</v>
      </c>
      <c r="V8" s="4">
        <v>89.51</v>
      </c>
    </row>
    <row r="9" spans="1:22" x14ac:dyDescent="0.2">
      <c r="A9" s="3" t="s">
        <v>14</v>
      </c>
      <c r="B9" s="4"/>
      <c r="C9" s="4"/>
      <c r="D9" s="4"/>
      <c r="E9" s="4"/>
      <c r="F9" s="4"/>
      <c r="G9" s="4"/>
      <c r="H9" s="4"/>
      <c r="I9" s="4"/>
      <c r="J9" s="4"/>
      <c r="K9" s="4">
        <v>1112409</v>
      </c>
      <c r="L9" s="4">
        <v>11866273</v>
      </c>
      <c r="M9" s="4">
        <v>93.75</v>
      </c>
      <c r="N9" s="4"/>
      <c r="O9" s="4"/>
      <c r="P9" s="4"/>
      <c r="Q9" s="4"/>
      <c r="R9" s="4"/>
      <c r="S9" s="4"/>
      <c r="T9" s="4">
        <v>1112409</v>
      </c>
      <c r="U9" s="4">
        <v>11866273</v>
      </c>
      <c r="V9" s="4">
        <v>93.75</v>
      </c>
    </row>
    <row r="10" spans="1:22" x14ac:dyDescent="0.2">
      <c r="A10" s="3" t="s">
        <v>16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>
        <v>622517</v>
      </c>
      <c r="O10" s="4">
        <v>11467859</v>
      </c>
      <c r="P10" s="4">
        <v>54.28</v>
      </c>
      <c r="Q10" s="4"/>
      <c r="R10" s="4"/>
      <c r="S10" s="4"/>
      <c r="T10" s="4">
        <v>622517</v>
      </c>
      <c r="U10" s="4">
        <v>11467859</v>
      </c>
      <c r="V10" s="4">
        <v>54.28</v>
      </c>
    </row>
    <row r="11" spans="1:22" x14ac:dyDescent="0.2">
      <c r="A11" s="3" t="s">
        <v>18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>
        <v>141515</v>
      </c>
      <c r="R11" s="4">
        <v>11115417</v>
      </c>
      <c r="S11" s="4">
        <v>12.73</v>
      </c>
      <c r="T11" s="4">
        <v>141515</v>
      </c>
      <c r="U11" s="4">
        <v>11115417</v>
      </c>
      <c r="V11" s="4">
        <v>12.73</v>
      </c>
    </row>
    <row r="12" spans="1:22" x14ac:dyDescent="0.2">
      <c r="A12" s="3" t="s">
        <v>72</v>
      </c>
      <c r="B12" s="4">
        <v>137273</v>
      </c>
      <c r="C12" s="4">
        <v>10914056</v>
      </c>
      <c r="D12" s="4">
        <v>12.58</v>
      </c>
      <c r="E12" s="4">
        <v>611800</v>
      </c>
      <c r="F12" s="4">
        <v>10970121</v>
      </c>
      <c r="G12" s="4">
        <v>55.77</v>
      </c>
      <c r="H12" s="4">
        <v>990817</v>
      </c>
      <c r="I12" s="4">
        <v>11069140</v>
      </c>
      <c r="J12" s="4">
        <v>89.51</v>
      </c>
      <c r="K12" s="4">
        <v>1112409</v>
      </c>
      <c r="L12" s="4">
        <v>11866273</v>
      </c>
      <c r="M12" s="4">
        <v>93.75</v>
      </c>
      <c r="N12" s="4">
        <v>622517</v>
      </c>
      <c r="O12" s="4">
        <v>11467859</v>
      </c>
      <c r="P12" s="4">
        <v>54.28</v>
      </c>
      <c r="Q12" s="4">
        <v>141515</v>
      </c>
      <c r="R12" s="4">
        <v>11115417</v>
      </c>
      <c r="S12" s="4">
        <v>12.73</v>
      </c>
      <c r="T12" s="4">
        <v>3616331</v>
      </c>
      <c r="U12" s="4">
        <v>67402866</v>
      </c>
      <c r="V12" s="4">
        <v>318.62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G4" sqref="G4"/>
    </sheetView>
  </sheetViews>
  <sheetFormatPr baseColWidth="10" defaultRowHeight="16" x14ac:dyDescent="0.2"/>
  <cols>
    <col min="1" max="1" width="17" style="1" bestFit="1" customWidth="1"/>
    <col min="2" max="2" width="21.6640625" style="1" bestFit="1" customWidth="1"/>
    <col min="3" max="3" width="8.5" style="1" bestFit="1" customWidth="1"/>
    <col min="4" max="4" width="19.1640625" style="1" bestFit="1" customWidth="1"/>
    <col min="5" max="5" width="14.33203125" style="1" bestFit="1" customWidth="1"/>
    <col min="6" max="16384" width="10.83203125" style="1"/>
  </cols>
  <sheetData>
    <row r="1" spans="1: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 t="s">
        <v>8</v>
      </c>
      <c r="B2" s="1" t="s">
        <v>9</v>
      </c>
      <c r="C2" s="1">
        <v>137273</v>
      </c>
      <c r="D2" s="1">
        <v>10914056</v>
      </c>
      <c r="E2" s="1">
        <v>12.58</v>
      </c>
    </row>
    <row r="3" spans="1:5" x14ac:dyDescent="0.2">
      <c r="A3" s="1" t="s">
        <v>10</v>
      </c>
      <c r="B3" s="1" t="s">
        <v>11</v>
      </c>
      <c r="C3" s="1">
        <v>611800</v>
      </c>
      <c r="D3" s="1">
        <v>10970121</v>
      </c>
      <c r="E3" s="1">
        <v>55.77</v>
      </c>
    </row>
    <row r="4" spans="1:5" x14ac:dyDescent="0.2">
      <c r="A4" s="1" t="s">
        <v>12</v>
      </c>
      <c r="B4" s="1" t="s">
        <v>13</v>
      </c>
      <c r="C4" s="1">
        <v>990817</v>
      </c>
      <c r="D4" s="1">
        <v>11069140</v>
      </c>
      <c r="E4" s="1">
        <v>89.51</v>
      </c>
    </row>
    <row r="5" spans="1:5" x14ac:dyDescent="0.2">
      <c r="A5" s="1" t="s">
        <v>14</v>
      </c>
      <c r="B5" s="1" t="s">
        <v>15</v>
      </c>
      <c r="C5" s="1">
        <v>1112409</v>
      </c>
      <c r="D5" s="1">
        <v>11866273</v>
      </c>
      <c r="E5" s="1">
        <v>93.75</v>
      </c>
    </row>
    <row r="6" spans="1:5" x14ac:dyDescent="0.2">
      <c r="A6" s="1" t="s">
        <v>16</v>
      </c>
      <c r="B6" s="1" t="s">
        <v>17</v>
      </c>
      <c r="C6" s="1">
        <v>622517</v>
      </c>
      <c r="D6" s="1">
        <v>11467859</v>
      </c>
      <c r="E6" s="1">
        <v>54.28</v>
      </c>
    </row>
    <row r="7" spans="1:5" x14ac:dyDescent="0.2">
      <c r="A7" s="1" t="s">
        <v>18</v>
      </c>
      <c r="B7" s="1" t="s">
        <v>19</v>
      </c>
      <c r="C7" s="1">
        <v>141515</v>
      </c>
      <c r="D7" s="1">
        <v>11115417</v>
      </c>
      <c r="E7" s="1">
        <v>12.73</v>
      </c>
    </row>
  </sheetData>
  <autoFilter ref="A1:F58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C34" sqref="C34"/>
    </sheetView>
  </sheetViews>
  <sheetFormatPr baseColWidth="10" defaultRowHeight="16" x14ac:dyDescent="0.2"/>
  <cols>
    <col min="1" max="1" width="17.6640625" customWidth="1"/>
    <col min="3" max="3" width="14.83203125" customWidth="1"/>
    <col min="4" max="4" width="16.1640625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6</v>
      </c>
      <c r="B2">
        <v>15</v>
      </c>
      <c r="C2">
        <v>1727</v>
      </c>
      <c r="D2" t="s">
        <v>7</v>
      </c>
      <c r="E2" t="s">
        <v>7</v>
      </c>
    </row>
    <row r="3" spans="1:5" x14ac:dyDescent="0.2">
      <c r="A3" t="s">
        <v>8</v>
      </c>
      <c r="B3" t="s">
        <v>9</v>
      </c>
      <c r="C3">
        <v>137273</v>
      </c>
      <c r="D3">
        <v>10914056</v>
      </c>
      <c r="E3">
        <v>12.58</v>
      </c>
    </row>
    <row r="4" spans="1:5" x14ac:dyDescent="0.2">
      <c r="A4" t="s">
        <v>10</v>
      </c>
      <c r="B4" t="s">
        <v>11</v>
      </c>
      <c r="C4">
        <v>611800</v>
      </c>
      <c r="D4">
        <v>10970121</v>
      </c>
      <c r="E4">
        <v>55.77</v>
      </c>
    </row>
    <row r="5" spans="1:5" x14ac:dyDescent="0.2">
      <c r="A5" t="s">
        <v>12</v>
      </c>
      <c r="B5" t="s">
        <v>13</v>
      </c>
      <c r="C5">
        <v>990817</v>
      </c>
      <c r="D5">
        <v>11069140</v>
      </c>
      <c r="E5">
        <v>89.51</v>
      </c>
    </row>
    <row r="6" spans="1:5" x14ac:dyDescent="0.2">
      <c r="A6" t="s">
        <v>14</v>
      </c>
      <c r="B6" t="s">
        <v>15</v>
      </c>
      <c r="C6">
        <v>1112409</v>
      </c>
      <c r="D6">
        <v>11866273</v>
      </c>
      <c r="E6">
        <v>93.75</v>
      </c>
    </row>
    <row r="7" spans="1:5" x14ac:dyDescent="0.2">
      <c r="A7" t="s">
        <v>16</v>
      </c>
      <c r="B7" t="s">
        <v>17</v>
      </c>
      <c r="C7">
        <v>622517</v>
      </c>
      <c r="D7">
        <v>11467859</v>
      </c>
      <c r="E7">
        <v>54.28</v>
      </c>
    </row>
    <row r="8" spans="1:5" x14ac:dyDescent="0.2">
      <c r="A8" t="s">
        <v>18</v>
      </c>
      <c r="B8" t="s">
        <v>19</v>
      </c>
      <c r="C8">
        <v>141515</v>
      </c>
      <c r="D8">
        <v>11115417</v>
      </c>
      <c r="E8">
        <v>12.73</v>
      </c>
    </row>
    <row r="9" spans="1:5" x14ac:dyDescent="0.2">
      <c r="A9" t="s">
        <v>20</v>
      </c>
      <c r="B9" t="s">
        <v>21</v>
      </c>
      <c r="C9">
        <v>9688</v>
      </c>
      <c r="D9" t="s">
        <v>7</v>
      </c>
      <c r="E9" t="s">
        <v>7</v>
      </c>
    </row>
    <row r="10" spans="1:5" x14ac:dyDescent="0.2">
      <c r="A10" t="s">
        <v>22</v>
      </c>
      <c r="B10" t="s">
        <v>23</v>
      </c>
      <c r="C10">
        <v>1188</v>
      </c>
      <c r="D10" t="s">
        <v>7</v>
      </c>
      <c r="E10" t="s">
        <v>7</v>
      </c>
    </row>
    <row r="11" spans="1:5" x14ac:dyDescent="0.2">
      <c r="C11">
        <v>3628934</v>
      </c>
      <c r="D11">
        <v>67402866</v>
      </c>
      <c r="E11">
        <v>53.84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workbookViewId="0">
      <selection activeCell="D10" sqref="D10"/>
    </sheetView>
  </sheetViews>
  <sheetFormatPr baseColWidth="10" defaultRowHeight="16" x14ac:dyDescent="0.2"/>
  <cols>
    <col min="2" max="2" width="16.83203125" customWidth="1"/>
    <col min="4" max="4" width="16.1640625" customWidth="1"/>
    <col min="5" max="5" width="15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>
        <v>15</v>
      </c>
      <c r="D2">
        <v>1727</v>
      </c>
      <c r="E2" t="s">
        <v>7</v>
      </c>
      <c r="F2" t="s">
        <v>7</v>
      </c>
    </row>
    <row r="3" spans="1:6" x14ac:dyDescent="0.2">
      <c r="B3" t="s">
        <v>8</v>
      </c>
      <c r="C3" t="s">
        <v>9</v>
      </c>
      <c r="D3">
        <v>137273</v>
      </c>
      <c r="E3">
        <v>10914056</v>
      </c>
      <c r="F3">
        <v>12.58</v>
      </c>
    </row>
    <row r="4" spans="1:6" x14ac:dyDescent="0.2">
      <c r="B4" t="s">
        <v>10</v>
      </c>
      <c r="C4" t="s">
        <v>11</v>
      </c>
      <c r="D4">
        <v>611800</v>
      </c>
      <c r="E4">
        <v>10970121</v>
      </c>
      <c r="F4">
        <v>55.77</v>
      </c>
    </row>
    <row r="5" spans="1:6" x14ac:dyDescent="0.2">
      <c r="B5" t="s">
        <v>12</v>
      </c>
      <c r="C5" t="s">
        <v>13</v>
      </c>
      <c r="D5">
        <v>990817</v>
      </c>
      <c r="E5">
        <v>11069140</v>
      </c>
      <c r="F5">
        <v>89.51</v>
      </c>
    </row>
    <row r="6" spans="1:6" x14ac:dyDescent="0.2">
      <c r="B6" t="s">
        <v>14</v>
      </c>
      <c r="C6" t="s">
        <v>15</v>
      </c>
      <c r="D6">
        <v>1112409</v>
      </c>
      <c r="E6">
        <v>11866273</v>
      </c>
      <c r="F6">
        <v>93.75</v>
      </c>
    </row>
    <row r="7" spans="1:6" x14ac:dyDescent="0.2">
      <c r="B7" t="s">
        <v>16</v>
      </c>
      <c r="C7" t="s">
        <v>17</v>
      </c>
      <c r="D7">
        <v>622517</v>
      </c>
      <c r="E7">
        <v>11467859</v>
      </c>
      <c r="F7">
        <v>54.28</v>
      </c>
    </row>
    <row r="8" spans="1:6" x14ac:dyDescent="0.2">
      <c r="B8" t="s">
        <v>18</v>
      </c>
      <c r="C8" t="s">
        <v>19</v>
      </c>
      <c r="D8">
        <v>141515</v>
      </c>
      <c r="E8">
        <v>11115417</v>
      </c>
      <c r="F8">
        <v>12.73</v>
      </c>
    </row>
    <row r="9" spans="1:6" x14ac:dyDescent="0.2">
      <c r="B9" t="s">
        <v>20</v>
      </c>
      <c r="C9" t="s">
        <v>21</v>
      </c>
      <c r="D9">
        <v>9688</v>
      </c>
      <c r="E9" t="s">
        <v>7</v>
      </c>
      <c r="F9" t="s">
        <v>7</v>
      </c>
    </row>
    <row r="10" spans="1:6" x14ac:dyDescent="0.2">
      <c r="B10" t="s">
        <v>22</v>
      </c>
      <c r="C10" t="s">
        <v>23</v>
      </c>
      <c r="D10">
        <v>1188</v>
      </c>
      <c r="E10" t="s">
        <v>7</v>
      </c>
      <c r="F10" t="s">
        <v>7</v>
      </c>
    </row>
    <row r="11" spans="1:6" x14ac:dyDescent="0.2">
      <c r="A11" t="s">
        <v>24</v>
      </c>
      <c r="D11">
        <v>3628934</v>
      </c>
      <c r="E11">
        <v>67402866</v>
      </c>
      <c r="F11">
        <v>53.84</v>
      </c>
    </row>
    <row r="12" spans="1:6" x14ac:dyDescent="0.2">
      <c r="A12" t="s">
        <v>25</v>
      </c>
    </row>
    <row r="13" spans="1:6" x14ac:dyDescent="0.2">
      <c r="A13" t="s">
        <v>26</v>
      </c>
    </row>
    <row r="14" spans="1:6" x14ac:dyDescent="0.2">
      <c r="A14" t="s">
        <v>27</v>
      </c>
    </row>
    <row r="15" spans="1:6" x14ac:dyDescent="0.2">
      <c r="A15" t="s">
        <v>28</v>
      </c>
    </row>
    <row r="16" spans="1:6" x14ac:dyDescent="0.2">
      <c r="A16" t="s">
        <v>29</v>
      </c>
    </row>
    <row r="17" spans="1:1" x14ac:dyDescent="0.2">
      <c r="A17" t="s">
        <v>30</v>
      </c>
    </row>
    <row r="18" spans="1:1" x14ac:dyDescent="0.2">
      <c r="A18" t="s">
        <v>31</v>
      </c>
    </row>
    <row r="19" spans="1:1" x14ac:dyDescent="0.2">
      <c r="A19" t="s">
        <v>32</v>
      </c>
    </row>
    <row r="20" spans="1:1" x14ac:dyDescent="0.2">
      <c r="A20" t="s">
        <v>33</v>
      </c>
    </row>
    <row r="21" spans="1:1" x14ac:dyDescent="0.2">
      <c r="A21" t="s">
        <v>34</v>
      </c>
    </row>
    <row r="22" spans="1:1" x14ac:dyDescent="0.2">
      <c r="A22" t="s">
        <v>25</v>
      </c>
    </row>
    <row r="23" spans="1:1" x14ac:dyDescent="0.2">
      <c r="A23" t="s">
        <v>35</v>
      </c>
    </row>
    <row r="24" spans="1:1" x14ac:dyDescent="0.2">
      <c r="A24" t="s">
        <v>25</v>
      </c>
    </row>
    <row r="25" spans="1:1" x14ac:dyDescent="0.2">
      <c r="A25" t="s">
        <v>36</v>
      </c>
    </row>
    <row r="26" spans="1:1" x14ac:dyDescent="0.2">
      <c r="A26" t="s">
        <v>25</v>
      </c>
    </row>
    <row r="27" spans="1:1" x14ac:dyDescent="0.2">
      <c r="A27" t="s">
        <v>37</v>
      </c>
    </row>
    <row r="28" spans="1:1" x14ac:dyDescent="0.2">
      <c r="A28" t="s">
        <v>38</v>
      </c>
    </row>
    <row r="29" spans="1:1" x14ac:dyDescent="0.2">
      <c r="A29" t="s">
        <v>39</v>
      </c>
    </row>
    <row r="30" spans="1:1" x14ac:dyDescent="0.2">
      <c r="A30" t="s">
        <v>40</v>
      </c>
    </row>
    <row r="31" spans="1:1" x14ac:dyDescent="0.2">
      <c r="A31" t="s">
        <v>25</v>
      </c>
    </row>
    <row r="32" spans="1:1" x14ac:dyDescent="0.2">
      <c r="A32" t="s">
        <v>41</v>
      </c>
    </row>
    <row r="33" spans="1:1" x14ac:dyDescent="0.2">
      <c r="A33" t="s">
        <v>42</v>
      </c>
    </row>
    <row r="34" spans="1:1" x14ac:dyDescent="0.2">
      <c r="A34" t="s">
        <v>43</v>
      </c>
    </row>
    <row r="35" spans="1:1" x14ac:dyDescent="0.2">
      <c r="A35" t="s">
        <v>44</v>
      </c>
    </row>
    <row r="36" spans="1:1" x14ac:dyDescent="0.2">
      <c r="A36" t="s">
        <v>45</v>
      </c>
    </row>
    <row r="37" spans="1:1" x14ac:dyDescent="0.2">
      <c r="A37" t="s">
        <v>46</v>
      </c>
    </row>
    <row r="38" spans="1:1" x14ac:dyDescent="0.2">
      <c r="A38" t="s">
        <v>47</v>
      </c>
    </row>
    <row r="39" spans="1:1" x14ac:dyDescent="0.2">
      <c r="A39" t="s">
        <v>48</v>
      </c>
    </row>
    <row r="40" spans="1:1" x14ac:dyDescent="0.2">
      <c r="A40" t="s">
        <v>49</v>
      </c>
    </row>
    <row r="41" spans="1:1" x14ac:dyDescent="0.2">
      <c r="A41" t="s">
        <v>50</v>
      </c>
    </row>
    <row r="42" spans="1:1" x14ac:dyDescent="0.2">
      <c r="A42" t="s">
        <v>51</v>
      </c>
    </row>
    <row r="43" spans="1:1" x14ac:dyDescent="0.2">
      <c r="A43" t="s">
        <v>52</v>
      </c>
    </row>
    <row r="44" spans="1:1" x14ac:dyDescent="0.2">
      <c r="A44" t="s">
        <v>53</v>
      </c>
    </row>
    <row r="45" spans="1:1" x14ac:dyDescent="0.2">
      <c r="A45" t="s">
        <v>54</v>
      </c>
    </row>
    <row r="46" spans="1:1" x14ac:dyDescent="0.2">
      <c r="A46" t="s">
        <v>55</v>
      </c>
    </row>
    <row r="47" spans="1:1" x14ac:dyDescent="0.2">
      <c r="A47" t="s">
        <v>56</v>
      </c>
    </row>
    <row r="48" spans="1:1" x14ac:dyDescent="0.2">
      <c r="A48" t="s">
        <v>57</v>
      </c>
    </row>
    <row r="49" spans="1:1" x14ac:dyDescent="0.2">
      <c r="A49" t="s">
        <v>58</v>
      </c>
    </row>
    <row r="50" spans="1:1" x14ac:dyDescent="0.2">
      <c r="A50" t="s">
        <v>59</v>
      </c>
    </row>
    <row r="51" spans="1:1" x14ac:dyDescent="0.2">
      <c r="A51" t="s">
        <v>60</v>
      </c>
    </row>
    <row r="52" spans="1:1" x14ac:dyDescent="0.2">
      <c r="A52" t="s">
        <v>61</v>
      </c>
    </row>
    <row r="53" spans="1:1" x14ac:dyDescent="0.2">
      <c r="A53" t="s">
        <v>62</v>
      </c>
    </row>
    <row r="54" spans="1:1" x14ac:dyDescent="0.2">
      <c r="A54" t="s">
        <v>63</v>
      </c>
    </row>
    <row r="55" spans="1:1" x14ac:dyDescent="0.2">
      <c r="A55" t="s">
        <v>64</v>
      </c>
    </row>
    <row r="56" spans="1:1" x14ac:dyDescent="0.2">
      <c r="A56" t="s">
        <v>65</v>
      </c>
    </row>
    <row r="57" spans="1:1" x14ac:dyDescent="0.2">
      <c r="A57" t="s">
        <v>66</v>
      </c>
    </row>
    <row r="58" spans="1:1" x14ac:dyDescent="0.2">
      <c r="A58" t="s">
        <v>67</v>
      </c>
    </row>
    <row r="59" spans="1:1" x14ac:dyDescent="0.2">
      <c r="A59" t="s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"/>
  <sheetViews>
    <sheetView workbookViewId="0">
      <selection activeCell="A4" sqref="A4"/>
    </sheetView>
  </sheetViews>
  <sheetFormatPr baseColWidth="10" defaultRowHeight="16" x14ac:dyDescent="0.2"/>
  <sheetData>
    <row r="4" spans="1:1" x14ac:dyDescent="0.2">
      <c r="A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Age and Fertility exc 45 + &amp;15</vt:lpstr>
      <vt:lpstr>Age and Fertility  all ages</vt:lpstr>
      <vt:lpstr>Age and Fertility</vt:lpstr>
      <vt:lpstr>NotesI 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Karcy Ellie Monfiston</dc:creator>
  <cp:lastModifiedBy>Karcy Ellie Monfiston</cp:lastModifiedBy>
  <dcterms:created xsi:type="dcterms:W3CDTF">2025-11-10T01:43:50Z</dcterms:created>
  <dcterms:modified xsi:type="dcterms:W3CDTF">2025-11-17T00:58:34Z</dcterms:modified>
</cp:coreProperties>
</file>